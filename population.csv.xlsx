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Indian Population Data Analysis\"/>
    </mc:Choice>
  </mc:AlternateContent>
  <xr:revisionPtr revIDLastSave="0" documentId="13_ncr:1_{B7702198-624F-4507-9079-0E8E6F0779C0}" xr6:coauthVersionLast="47" xr6:coauthVersionMax="47" xr10:uidLastSave="{00000000-0000-0000-0000-000000000000}"/>
  <bookViews>
    <workbookView xWindow="-108" yWindow="-108" windowWidth="23256" windowHeight="12456" xr2:uid="{FB82829B-6F12-444B-8421-B58D62F0B729}"/>
  </bookViews>
  <sheets>
    <sheet name="population" sheetId="1" r:id="rId1"/>
    <sheet name="Summery" sheetId="2" r:id="rId2"/>
    <sheet name="PivotTable" sheetId="3" r:id="rId3"/>
  </sheets>
  <calcPr calcId="191029"/>
  <pivotCaches>
    <pivotCache cacheId="0" r:id="rId4"/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 a="1"/>
  <c r="M3" i="2" s="1"/>
  <c r="M9" i="2" a="1"/>
  <c r="M9" i="2" s="1"/>
  <c r="M8" i="2" a="1"/>
  <c r="M8" i="2" s="1"/>
  <c r="M7" i="2" a="1"/>
  <c r="M7" i="2" s="1"/>
  <c r="M6" i="2" a="1"/>
  <c r="M6" i="2" s="1"/>
  <c r="M5" i="2" a="1"/>
  <c r="M5" i="2" s="1"/>
  <c r="M4" i="2" a="1"/>
  <c r="M4" i="2" s="1"/>
  <c r="H9" i="2"/>
  <c r="H6" i="2"/>
  <c r="H3" i="2"/>
  <c r="E9" i="2"/>
  <c r="E6" i="2"/>
  <c r="E3" i="2"/>
  <c r="A9" i="2"/>
  <c r="A6" i="2"/>
  <c r="A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<sst xmlns="http://schemas.openxmlformats.org/spreadsheetml/2006/main" count="321" uniqueCount="97">
  <si>
    <t>Rank</t>
  </si>
  <si>
    <t>State</t>
  </si>
  <si>
    <t>Capital</t>
  </si>
  <si>
    <t>Population</t>
  </si>
  <si>
    <t>% of Total Population</t>
  </si>
  <si>
    <t>Males</t>
  </si>
  <si>
    <t>Females</t>
  </si>
  <si>
    <t>Literacy Rate (%)</t>
  </si>
  <si>
    <t>Rural Population</t>
  </si>
  <si>
    <t>Urban Population</t>
  </si>
  <si>
    <t>Area (km*km)</t>
  </si>
  <si>
    <t>Density (1/km*km)</t>
  </si>
  <si>
    <t>Decadal Growth (%)</t>
  </si>
  <si>
    <t>Uttar Pradesh</t>
  </si>
  <si>
    <t>Lucknow</t>
  </si>
  <si>
    <t>Maharashtra</t>
  </si>
  <si>
    <t>Mumbai</t>
  </si>
  <si>
    <t>Bihar</t>
  </si>
  <si>
    <t>Patna</t>
  </si>
  <si>
    <t>West Bengal</t>
  </si>
  <si>
    <t>Kolkata</t>
  </si>
  <si>
    <t>Andhra Pradesh</t>
  </si>
  <si>
    <t>Hyderabad</t>
  </si>
  <si>
    <t>Madhya Pradesh</t>
  </si>
  <si>
    <t>Bhopal</t>
  </si>
  <si>
    <t>Tamil Nadu</t>
  </si>
  <si>
    <t>Chennai</t>
  </si>
  <si>
    <t>Rajasthan</t>
  </si>
  <si>
    <t>Jaipur</t>
  </si>
  <si>
    <t>Karnataka</t>
  </si>
  <si>
    <t>Bengaluru</t>
  </si>
  <si>
    <t>Gujarat</t>
  </si>
  <si>
    <t>Gandhinagar</t>
  </si>
  <si>
    <t>Odisha</t>
  </si>
  <si>
    <t>Bhubaneshwar</t>
  </si>
  <si>
    <t>Kerala</t>
  </si>
  <si>
    <t>Thiruvananthapuram</t>
  </si>
  <si>
    <t>Jharkhand</t>
  </si>
  <si>
    <t>Ranchi</t>
  </si>
  <si>
    <t>Assam</t>
  </si>
  <si>
    <t>Dispur</t>
  </si>
  <si>
    <t>Punjab</t>
  </si>
  <si>
    <t>Chandigarh</t>
  </si>
  <si>
    <t>Chhattisgarh</t>
  </si>
  <si>
    <t>Raipur</t>
  </si>
  <si>
    <t>Haryana</t>
  </si>
  <si>
    <t>Delhi</t>
  </si>
  <si>
    <t>Jammu and Kashmir</t>
  </si>
  <si>
    <t>Uttarakhand</t>
  </si>
  <si>
    <t>Dehradun</t>
  </si>
  <si>
    <t>Himachal Pradesh</t>
  </si>
  <si>
    <t>Shimla</t>
  </si>
  <si>
    <t>Tripura</t>
  </si>
  <si>
    <t>Agartala</t>
  </si>
  <si>
    <t>Meghalaya</t>
  </si>
  <si>
    <t>Shillong</t>
  </si>
  <si>
    <t>Manipur</t>
  </si>
  <si>
    <t>Imphal</t>
  </si>
  <si>
    <t>Nagaland</t>
  </si>
  <si>
    <t>Kohima</t>
  </si>
  <si>
    <t>Goa</t>
  </si>
  <si>
    <t>Panaji</t>
  </si>
  <si>
    <t>Arunachal Pradesh</t>
  </si>
  <si>
    <t>Itanagar</t>
  </si>
  <si>
    <t>Puducherry</t>
  </si>
  <si>
    <t>Pondicherry</t>
  </si>
  <si>
    <t>Mizoram</t>
  </si>
  <si>
    <t>Aizawl</t>
  </si>
  <si>
    <t>Sikkim</t>
  </si>
  <si>
    <t>Gangtok</t>
  </si>
  <si>
    <t>Andaman and Nicobar Islands</t>
  </si>
  <si>
    <t>Port Blair</t>
  </si>
  <si>
    <t>Dadra and Nagar Haveli</t>
  </si>
  <si>
    <t>Silvassa</t>
  </si>
  <si>
    <t>Daman and Diu</t>
  </si>
  <si>
    <t>Daman</t>
  </si>
  <si>
    <t>Lakshadweep</t>
  </si>
  <si>
    <t>Kavaratti</t>
  </si>
  <si>
    <t>Gender Ratio</t>
  </si>
  <si>
    <t>% of Total Max Population</t>
  </si>
  <si>
    <t>% of Total Min Population</t>
  </si>
  <si>
    <t>% of Total Avg Population</t>
  </si>
  <si>
    <t>Max Gender Ratio</t>
  </si>
  <si>
    <t>Min Gender Ratio</t>
  </si>
  <si>
    <t>Avg Gender Ratio</t>
  </si>
  <si>
    <t>Max Literacy Rate (%)</t>
  </si>
  <si>
    <t>Min Literacy Rate (%)</t>
  </si>
  <si>
    <t>Avg Literacy Rate (%)</t>
  </si>
  <si>
    <t>Row Labels</t>
  </si>
  <si>
    <t>Grand Total</t>
  </si>
  <si>
    <t>Sum of Rural Population</t>
  </si>
  <si>
    <t>(All)</t>
  </si>
  <si>
    <t>(Multiple Items)</t>
  </si>
  <si>
    <t>Sum of Females</t>
  </si>
  <si>
    <t>Sum of % of Total Population</t>
  </si>
  <si>
    <t>Sum of Urban Population</t>
  </si>
  <si>
    <t>Sum of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</si>
</sst>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3" fontId="0" fillId="34" borderId="10" xfId="0" applyNumberFormat="1" applyFill="1" applyBorder="1"/>
    <xf numFmtId="10" fontId="0" fillId="34" borderId="10" xfId="0" applyNumberFormat="1" applyFill="1" applyBorder="1"/>
    <xf numFmtId="9" fontId="0" fillId="34" borderId="10" xfId="0" applyNumberFormat="1" applyFill="1" applyBorder="1"/>
    <xf numFmtId="0" fontId="0" fillId="35" borderId="10" xfId="0" applyFill="1" applyBorder="1"/>
    <xf numFmtId="0" fontId="16" fillId="36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Fill="1" applyAlignment="1">
      <alignment horizontal="center"/>
    </xf>
    <xf numFmtId="0" fontId="16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196.530847800925" createdVersion="8" refreshedVersion="8" minRefreshableVersion="3" recordCount="39" xr:uid="{12F72F36-4652-4247-896A-88F09ED40986}">
  <cacheSource type="worksheet">
    <worksheetSource ref="A1:N1048576" sheet="population"/>
  </cacheSource>
  <cacheFields count="14">
    <cacheField name="Rank" numFmtId="0">
      <sharedItems containsString="0" containsBlank="1" containsNumber="1" containsInteger="1" minValue="1" maxValue="35"/>
    </cacheField>
    <cacheField name="State" numFmtId="0">
      <sharedItems containsBlank="1" count="36">
        <s v="Uttar Pradesh"/>
        <s v="Maharashtra"/>
        <s v="Bihar"/>
        <s v="West Bengal"/>
        <s v="Andhra Pradesh"/>
        <s v="Madhya Pradesh"/>
        <s v="Tamil Nadu"/>
        <s v="Rajasthan"/>
        <s v="Karnataka"/>
        <s v="Gujarat"/>
        <s v="Odisha"/>
        <s v="Kerala"/>
        <s v="Jharkhand"/>
        <s v="Assam"/>
        <s v="Punjab"/>
        <s v="Chhattisgarh"/>
        <s v="Haryana"/>
        <s v="Delhi"/>
        <s v="Jammu and Kashmir"/>
        <s v="Uttarakhand"/>
        <s v="Himachal Pradesh"/>
        <s v="Tripura"/>
        <s v="Meghalaya"/>
        <s v="Manipur"/>
        <s v="Nagaland"/>
        <s v="Goa"/>
        <s v="Arunachal Pradesh"/>
        <s v="Puducherry"/>
        <s v="Mizoram"/>
        <s v="Chandigarh"/>
        <s v="Sikkim"/>
        <s v="Andaman and Nicobar Islands"/>
        <s v="Dadra and Nagar Haveli"/>
        <s v="Daman and Diu"/>
        <s v="Lakshadweep"/>
        <m/>
      </sharedItems>
    </cacheField>
    <cacheField name="Capital" numFmtId="0">
      <sharedItems containsBlank="1"/>
    </cacheField>
    <cacheField name="Population" numFmtId="0">
      <sharedItems containsString="0" containsBlank="1" containsNumber="1" containsInteger="1" minValue="64473" maxValue="199812341"/>
    </cacheField>
    <cacheField name="% of Total Population" numFmtId="0">
      <sharedItems containsString="0" containsBlank="1" containsNumber="1" minValue="0.01" maxValue="16.5"/>
    </cacheField>
    <cacheField name="Males" numFmtId="0">
      <sharedItems containsString="0" containsBlank="1" containsNumber="1" containsInteger="1" minValue="33123" maxValue="104480510"/>
    </cacheField>
    <cacheField name="Females" numFmtId="0">
      <sharedItems containsString="0" containsBlank="1" containsNumber="1" containsInteger="1" minValue="31350" maxValue="95331831"/>
    </cacheField>
    <cacheField name="Gender Ratio" numFmtId="0">
      <sharedItems containsString="0" containsBlank="1" containsNumber="1" containsInteger="1" minValue="618" maxValue="1084" count="34">
        <n v="912"/>
        <n v="929"/>
        <n v="918"/>
        <n v="950"/>
        <n v="993"/>
        <n v="931"/>
        <n v="996"/>
        <n v="928"/>
        <n v="973"/>
        <n v="919"/>
        <n v="979"/>
        <n v="1084"/>
        <n v="948"/>
        <n v="958"/>
        <n v="895"/>
        <n v="991"/>
        <n v="879"/>
        <n v="868"/>
        <n v="889"/>
        <n v="963"/>
        <n v="972"/>
        <n v="960"/>
        <n v="989"/>
        <n v="992"/>
        <n v="938"/>
        <n v="1037"/>
        <n v="976"/>
        <n v="818"/>
        <n v="890"/>
        <n v="876"/>
        <n v="774"/>
        <n v="618"/>
        <n v="946"/>
        <m/>
      </sharedItems>
    </cacheField>
    <cacheField name="Literacy Rate (%)" numFmtId="0">
      <sharedItems containsString="0" containsBlank="1" containsNumber="1" minValue="61.8" maxValue="94" count="36">
        <n v="67.680000000000007"/>
        <n v="82.34"/>
        <n v="61.8"/>
        <n v="76.260000000000005"/>
        <n v="67.02"/>
        <n v="69.319999999999993"/>
        <n v="80.09"/>
        <n v="66.11"/>
        <n v="75.36"/>
        <n v="78.03"/>
        <n v="72.87"/>
        <n v="94"/>
        <n v="66.41"/>
        <n v="72.19"/>
        <n v="75.84"/>
        <n v="70.28"/>
        <n v="75.55"/>
        <n v="86.21"/>
        <n v="67.16"/>
        <n v="79.63"/>
        <n v="82.8"/>
        <n v="87.22"/>
        <n v="74.430000000000007"/>
        <n v="79.209999999999994"/>
        <n v="79.55"/>
        <n v="88.7"/>
        <n v="65.38"/>
        <n v="85.85"/>
        <n v="91.33"/>
        <n v="86.05"/>
        <n v="81.42"/>
        <n v="86.63"/>
        <n v="76.239999999999995"/>
        <n v="87.1"/>
        <n v="91.85"/>
        <m/>
      </sharedItems>
    </cacheField>
    <cacheField name="Rural Population" numFmtId="0">
      <sharedItems containsString="0" containsBlank="1" containsNumber="1" containsInteger="1" minValue="14121" maxValue="155111022"/>
    </cacheField>
    <cacheField name="Urban Population" numFmtId="0">
      <sharedItems containsString="0" containsBlank="1" containsNumber="1" containsInteger="1" minValue="50308" maxValue="50827531"/>
    </cacheField>
    <cacheField name="Area (km*km)" numFmtId="0">
      <sharedItems containsString="0" containsBlank="1" containsNumber="1" containsInteger="1" minValue="32" maxValue="342239"/>
    </cacheField>
    <cacheField name="Density (1/km*km)" numFmtId="0">
      <sharedItems containsString="0" containsBlank="1" containsNumber="1" containsInteger="1" minValue="17" maxValue="11297"/>
    </cacheField>
    <cacheField name="Decadal Growth (%)" numFmtId="0">
      <sharedItems containsString="0" containsBlank="1" containsNumber="1" minValue="5.0000000000000001E-3" maxValue="0.5550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196.532465509263" createdVersion="8" refreshedVersion="8" minRefreshableVersion="3" recordCount="35" xr:uid="{1CAE6F5E-4A68-4493-B8F4-898DFE1F623D}">
  <cacheSource type="worksheet">
    <worksheetSource ref="A1:N36" sheet="population"/>
  </cacheSource>
  <cacheFields count="14">
    <cacheField name="Rank" numFmtId="0">
      <sharedItems containsSemiMixedTypes="0" containsString="0" containsNumber="1" containsInteger="1" minValue="1" maxValue="35" count="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</cacheField>
    <cacheField name="State" numFmtId="0">
      <sharedItems count="35">
        <s v="Uttar Pradesh"/>
        <s v="Maharashtra"/>
        <s v="Bihar"/>
        <s v="West Bengal"/>
        <s v="Andhra Pradesh"/>
        <s v="Madhya Pradesh"/>
        <s v="Tamil Nadu"/>
        <s v="Rajasthan"/>
        <s v="Karnataka"/>
        <s v="Gujarat"/>
        <s v="Odisha"/>
        <s v="Kerala"/>
        <s v="Jharkhand"/>
        <s v="Assam"/>
        <s v="Punjab"/>
        <s v="Chhattisgarh"/>
        <s v="Haryana"/>
        <s v="Delhi"/>
        <s v="Jammu and Kashmir"/>
        <s v="Uttarakhand"/>
        <s v="Himachal Pradesh"/>
        <s v="Tripura"/>
        <s v="Meghalaya"/>
        <s v="Manipur"/>
        <s v="Nagaland"/>
        <s v="Goa"/>
        <s v="Arunachal Pradesh"/>
        <s v="Puducherry"/>
        <s v="Mizoram"/>
        <s v="Chandigarh"/>
        <s v="Sikkim"/>
        <s v="Andaman and Nicobar Islands"/>
        <s v="Dadra and Nagar Haveli"/>
        <s v="Daman and Diu"/>
        <s v="Lakshadweep"/>
      </sharedItems>
    </cacheField>
    <cacheField name="Capital" numFmtId="0">
      <sharedItems count="33">
        <s v="Lucknow"/>
        <s v="Mumbai"/>
        <s v="Patna"/>
        <s v="Kolkata"/>
        <s v="Hyderabad"/>
        <s v="Bhopal"/>
        <s v="Chennai"/>
        <s v="Jaipur"/>
        <s v="Bengaluru"/>
        <s v="Gandhinagar"/>
        <s v="Bhubaneshwar"/>
        <s v="Thiruvananthapuram"/>
        <s v="Ranchi"/>
        <s v="Dispur"/>
        <s v="Chandigarh"/>
        <s v="Raipur"/>
        <s v="Delhi"/>
        <s v="Jammu and Kashmir"/>
        <s v="Dehradun"/>
        <s v="Shimla"/>
        <s v="Agartala"/>
        <s v="Shillong"/>
        <s v="Imphal"/>
        <s v="Kohima"/>
        <s v="Panaji"/>
        <s v="Itanagar"/>
        <s v="Pondicherry"/>
        <s v="Aizawl"/>
        <s v="Gangtok"/>
        <s v="Port Blair"/>
        <s v="Silvassa"/>
        <s v="Daman"/>
        <s v="Kavaratti"/>
      </sharedItems>
    </cacheField>
    <cacheField name="Population" numFmtId="3">
      <sharedItems containsSemiMixedTypes="0" containsString="0" containsNumber="1" containsInteger="1" minValue="64473" maxValue="199812341"/>
    </cacheField>
    <cacheField name="% of Total Population" numFmtId="0">
      <sharedItems containsSemiMixedTypes="0" containsString="0" containsNumber="1" minValue="0.01" maxValue="16.5" count="33">
        <n v="16.5"/>
        <n v="9.2799999999999994"/>
        <n v="8.6"/>
        <n v="7.54"/>
        <n v="6.99"/>
        <n v="6"/>
        <n v="5.96"/>
        <n v="5.66"/>
        <n v="5.05"/>
        <n v="4.99"/>
        <n v="3.47"/>
        <n v="2.76"/>
        <n v="2.72"/>
        <n v="2.58"/>
        <n v="2.29"/>
        <n v="2.11"/>
        <n v="2.09"/>
        <n v="1.39"/>
        <n v="1.04"/>
        <n v="0.83"/>
        <n v="0.56999999999999995"/>
        <n v="0.3"/>
        <n v="0.25"/>
        <n v="0.21"/>
        <n v="0.16"/>
        <n v="0.12"/>
        <n v="0.11"/>
        <n v="0.1"/>
        <n v="0.09"/>
        <n v="0.05"/>
        <n v="0.03"/>
        <n v="0.02"/>
        <n v="0.01"/>
      </sharedItems>
    </cacheField>
    <cacheField name="Males" numFmtId="3">
      <sharedItems containsSemiMixedTypes="0" containsString="0" containsNumber="1" containsInteger="1" minValue="33123" maxValue="104480510" count="35">
        <n v="104480510"/>
        <n v="58243056"/>
        <n v="54278157"/>
        <n v="46809027"/>
        <n v="42442146"/>
        <n v="37612306"/>
        <n v="36137975"/>
        <n v="35550997"/>
        <n v="30966657"/>
        <n v="31491260"/>
        <n v="21212136"/>
        <n v="16027412"/>
        <n v="16930315"/>
        <n v="15939443"/>
        <n v="14639465"/>
        <n v="12832895"/>
        <n v="13494734"/>
        <n v="8887326"/>
        <n v="6640662"/>
        <n v="5137773"/>
        <n v="3481873"/>
        <n v="1874376"/>
        <n v="1491832"/>
        <n v="1290171"/>
        <n v="1024649"/>
        <n v="739140"/>
        <n v="713912"/>
        <n v="612511"/>
        <n v="555339"/>
        <n v="580663"/>
        <n v="323070"/>
        <n v="202871"/>
        <n v="193760"/>
        <n v="150301"/>
        <n v="33123"/>
      </sharedItems>
    </cacheField>
    <cacheField name="Females" numFmtId="3">
      <sharedItems containsSemiMixedTypes="0" containsString="0" containsNumber="1" containsInteger="1" minValue="31350" maxValue="95331831" count="35">
        <n v="95331831"/>
        <n v="54131277"/>
        <n v="49821295"/>
        <n v="44467088"/>
        <n v="42138631"/>
        <n v="35014503"/>
        <n v="36009055"/>
        <n v="32997440"/>
        <n v="30128640"/>
        <n v="28948432"/>
        <n v="20762082"/>
        <n v="17378649"/>
        <n v="16057819"/>
        <n v="15266133"/>
        <n v="13103873"/>
        <n v="12712303"/>
        <n v="11856728"/>
        <n v="7800615"/>
        <n v="5900640"/>
        <n v="4948519"/>
        <n v="3382729"/>
        <n v="1799541"/>
        <n v="1475057"/>
        <n v="1280219"/>
        <n v="953853"/>
        <n v="719405"/>
        <n v="669815"/>
        <n v="635442"/>
        <n v="541867"/>
        <n v="474787"/>
        <n v="287507"/>
        <n v="177710"/>
        <n v="149949"/>
        <n v="92946"/>
        <n v="31350"/>
      </sharedItems>
    </cacheField>
    <cacheField name="Gender Ratio" numFmtId="0">
      <sharedItems containsSemiMixedTypes="0" containsString="0" containsNumber="1" containsInteger="1" minValue="618" maxValue="1084" count="33">
        <n v="912"/>
        <n v="929"/>
        <n v="918"/>
        <n v="950"/>
        <n v="993"/>
        <n v="931"/>
        <n v="996"/>
        <n v="928"/>
        <n v="973"/>
        <n v="919"/>
        <n v="979"/>
        <n v="1084"/>
        <n v="948"/>
        <n v="958"/>
        <n v="895"/>
        <n v="991"/>
        <n v="879"/>
        <n v="868"/>
        <n v="889"/>
        <n v="963"/>
        <n v="972"/>
        <n v="960"/>
        <n v="989"/>
        <n v="992"/>
        <n v="938"/>
        <n v="1037"/>
        <n v="976"/>
        <n v="818"/>
        <n v="890"/>
        <n v="876"/>
        <n v="774"/>
        <n v="618"/>
        <n v="946"/>
      </sharedItems>
    </cacheField>
    <cacheField name="Literacy Rate (%)" numFmtId="0">
      <sharedItems containsSemiMixedTypes="0" containsString="0" containsNumber="1" minValue="61.8" maxValue="94" count="35">
        <n v="67.680000000000007"/>
        <n v="82.34"/>
        <n v="61.8"/>
        <n v="76.260000000000005"/>
        <n v="67.02"/>
        <n v="69.319999999999993"/>
        <n v="80.09"/>
        <n v="66.11"/>
        <n v="75.36"/>
        <n v="78.03"/>
        <n v="72.87"/>
        <n v="94"/>
        <n v="66.41"/>
        <n v="72.19"/>
        <n v="75.84"/>
        <n v="70.28"/>
        <n v="75.55"/>
        <n v="86.21"/>
        <n v="67.16"/>
        <n v="79.63"/>
        <n v="82.8"/>
        <n v="87.22"/>
        <n v="74.430000000000007"/>
        <n v="79.209999999999994"/>
        <n v="79.55"/>
        <n v="88.7"/>
        <n v="65.38"/>
        <n v="85.85"/>
        <n v="91.33"/>
        <n v="86.05"/>
        <n v="81.42"/>
        <n v="86.63"/>
        <n v="76.239999999999995"/>
        <n v="87.1"/>
        <n v="91.85"/>
      </sharedItems>
    </cacheField>
    <cacheField name="Rural Population" numFmtId="3">
      <sharedItems containsSemiMixedTypes="0" containsString="0" containsNumber="1" containsInteger="1" minValue="14121" maxValue="155111022" count="35">
        <n v="155111022"/>
        <n v="61545441"/>
        <n v="92075028"/>
        <n v="62213676"/>
        <n v="56361702"/>
        <n v="52537899"/>
        <n v="37189229"/>
        <n v="51540236"/>
        <n v="37552529"/>
        <n v="34670817"/>
        <n v="34951234"/>
        <n v="17445506"/>
        <n v="25036946"/>
        <n v="26780526"/>
        <n v="17316800"/>
        <n v="19603658"/>
        <n v="16531493"/>
        <n v="944727"/>
        <n v="9134820"/>
        <n v="7025583"/>
        <n v="6167805"/>
        <n v="2710051"/>
        <n v="2368971"/>
        <n v="1899624"/>
        <n v="1406861"/>
        <n v="551414"/>
        <n v="1069165"/>
        <n v="394341"/>
        <n v="529037"/>
        <n v="29004"/>
        <n v="455962"/>
        <n v="244411"/>
        <n v="183024"/>
        <n v="60331"/>
        <n v="14121"/>
      </sharedItems>
    </cacheField>
    <cacheField name="Urban Population" numFmtId="3">
      <sharedItems containsSemiMixedTypes="0" containsString="0" containsNumber="1" containsInteger="1" minValue="50308" maxValue="50827531" count="35">
        <n v="44470455"/>
        <n v="50827531"/>
        <n v="11729609"/>
        <n v="29134060"/>
        <n v="28219075"/>
        <n v="20059666"/>
        <n v="34949729"/>
        <n v="17080776"/>
        <n v="23578175"/>
        <n v="25712811"/>
        <n v="6996124"/>
        <n v="15932171"/>
        <n v="7929292"/>
        <n v="4388756"/>
        <n v="10387436"/>
        <n v="5936538"/>
        <n v="8821588"/>
        <n v="12905780"/>
        <n v="3414106"/>
        <n v="3091169"/>
        <n v="688704"/>
        <n v="960981"/>
        <n v="595036"/>
        <n v="822132"/>
        <n v="573741"/>
        <n v="906309"/>
        <n v="313446"/>
        <n v="850123"/>
        <n v="561997"/>
        <n v="1025682"/>
        <n v="151726"/>
        <n v="135533"/>
        <n v="159829"/>
        <n v="182580"/>
        <n v="50308"/>
      </sharedItems>
    </cacheField>
    <cacheField name="Area (km*km)" numFmtId="0">
      <sharedItems containsSemiMixedTypes="0" containsString="0" containsNumber="1" containsInteger="1" minValue="32" maxValue="342239" count="35">
        <n v="240928"/>
        <n v="307713"/>
        <n v="94163"/>
        <n v="88752"/>
        <n v="275045"/>
        <n v="308245"/>
        <n v="130058"/>
        <n v="342239"/>
        <n v="191791"/>
        <n v="196024"/>
        <n v="155707"/>
        <n v="38863"/>
        <n v="79714"/>
        <n v="78438"/>
        <n v="50362"/>
        <n v="135191"/>
        <n v="44212"/>
        <n v="1484"/>
        <n v="222236"/>
        <n v="53483"/>
        <n v="55673"/>
        <n v="10486"/>
        <n v="22429"/>
        <n v="22327"/>
        <n v="16579"/>
        <n v="3702"/>
        <n v="83743"/>
        <n v="479"/>
        <n v="21081"/>
        <n v="114"/>
        <n v="7096"/>
        <n v="8249"/>
        <n v="491"/>
        <n v="112"/>
        <n v="32"/>
      </sharedItems>
    </cacheField>
    <cacheField name="Density (1/km*km)" numFmtId="0">
      <sharedItems containsSemiMixedTypes="0" containsString="0" containsNumber="1" containsInteger="1" minValue="17" maxValue="11297" count="33">
        <n v="828"/>
        <n v="365"/>
        <n v="1102"/>
        <n v="1030"/>
        <n v="308"/>
        <n v="236"/>
        <n v="555"/>
        <n v="201"/>
        <n v="319"/>
        <n v="269"/>
        <n v="859"/>
        <n v="414"/>
        <n v="397"/>
        <n v="550"/>
        <n v="189"/>
        <n v="573"/>
        <n v="11297"/>
        <n v="56"/>
        <n v="123"/>
        <n v="350"/>
        <n v="132"/>
        <n v="122"/>
        <n v="119"/>
        <n v="394"/>
        <n v="17"/>
        <n v="2598"/>
        <n v="52"/>
        <n v="9252"/>
        <n v="86"/>
        <n v="46"/>
        <n v="698"/>
        <n v="2169"/>
        <n v="2013"/>
      </sharedItems>
    </cacheField>
    <cacheField name="Decadal Growth (%)" numFmtId="0">
      <sharedItems containsSemiMixedTypes="0" containsString="0" containsNumber="1" minValue="5.0000000000000001E-3" maxValue="0.5550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x v="0"/>
    <s v="Lucknow"/>
    <n v="199812341"/>
    <n v="16.5"/>
    <n v="104480510"/>
    <n v="95331831"/>
    <x v="0"/>
    <x v="0"/>
    <n v="155111022"/>
    <n v="44470455"/>
    <n v="240928"/>
    <n v="828"/>
    <n v="0.20100000000000001"/>
  </r>
  <r>
    <n v="2"/>
    <x v="1"/>
    <s v="Mumbai"/>
    <n v="112374333"/>
    <n v="9.2799999999999994"/>
    <n v="58243056"/>
    <n v="54131277"/>
    <x v="1"/>
    <x v="1"/>
    <n v="61545441"/>
    <n v="50827531"/>
    <n v="307713"/>
    <n v="365"/>
    <n v="0.16"/>
  </r>
  <r>
    <n v="3"/>
    <x v="2"/>
    <s v="Patna"/>
    <n v="104099452"/>
    <n v="8.6"/>
    <n v="54278157"/>
    <n v="49821295"/>
    <x v="2"/>
    <x v="2"/>
    <n v="92075028"/>
    <n v="11729609"/>
    <n v="94163"/>
    <n v="1102"/>
    <n v="0.251"/>
  </r>
  <r>
    <n v="4"/>
    <x v="3"/>
    <s v="Kolkata"/>
    <n v="91276115"/>
    <n v="7.54"/>
    <n v="46809027"/>
    <n v="44467088"/>
    <x v="3"/>
    <x v="3"/>
    <n v="62213676"/>
    <n v="29134060"/>
    <n v="88752"/>
    <n v="1030"/>
    <n v="0.13900000000000001"/>
  </r>
  <r>
    <n v="5"/>
    <x v="4"/>
    <s v="Hyderabad"/>
    <n v="84580777"/>
    <n v="6.99"/>
    <n v="42442146"/>
    <n v="42138631"/>
    <x v="4"/>
    <x v="4"/>
    <n v="56361702"/>
    <n v="28219075"/>
    <n v="275045"/>
    <n v="308"/>
    <n v="0.10979999999999999"/>
  </r>
  <r>
    <n v="6"/>
    <x v="5"/>
    <s v="Bhopal"/>
    <n v="72626809"/>
    <n v="6"/>
    <n v="37612306"/>
    <n v="35014503"/>
    <x v="5"/>
    <x v="5"/>
    <n v="52537899"/>
    <n v="20059666"/>
    <n v="308245"/>
    <n v="236"/>
    <n v="0.20300000000000001"/>
  </r>
  <r>
    <n v="7"/>
    <x v="6"/>
    <s v="Chennai"/>
    <n v="72147030"/>
    <n v="5.96"/>
    <n v="36137975"/>
    <n v="36009055"/>
    <x v="6"/>
    <x v="6"/>
    <n v="37189229"/>
    <n v="34949729"/>
    <n v="130058"/>
    <n v="555"/>
    <n v="0.156"/>
  </r>
  <r>
    <n v="8"/>
    <x v="7"/>
    <s v="Jaipur"/>
    <n v="68548437"/>
    <n v="5.66"/>
    <n v="35550997"/>
    <n v="32997440"/>
    <x v="7"/>
    <x v="7"/>
    <n v="51540236"/>
    <n v="17080776"/>
    <n v="342239"/>
    <n v="201"/>
    <n v="0.214"/>
  </r>
  <r>
    <n v="9"/>
    <x v="8"/>
    <s v="Bengaluru"/>
    <n v="61095297"/>
    <n v="5.05"/>
    <n v="30966657"/>
    <n v="30128640"/>
    <x v="8"/>
    <x v="8"/>
    <n v="37552529"/>
    <n v="23578175"/>
    <n v="191791"/>
    <n v="319"/>
    <n v="0.157"/>
  </r>
  <r>
    <n v="10"/>
    <x v="9"/>
    <s v="Gandhinagar"/>
    <n v="60439692"/>
    <n v="4.99"/>
    <n v="31491260"/>
    <n v="28948432"/>
    <x v="9"/>
    <x v="9"/>
    <n v="34670817"/>
    <n v="25712811"/>
    <n v="196024"/>
    <n v="308"/>
    <n v="0.192"/>
  </r>
  <r>
    <n v="11"/>
    <x v="10"/>
    <s v="Bhubaneshwar"/>
    <n v="41974218"/>
    <n v="3.47"/>
    <n v="21212136"/>
    <n v="20762082"/>
    <x v="10"/>
    <x v="10"/>
    <n v="34951234"/>
    <n v="6996124"/>
    <n v="155707"/>
    <n v="269"/>
    <n v="0.14000000000000001"/>
  </r>
  <r>
    <n v="12"/>
    <x v="11"/>
    <s v="Thiruvananthapuram"/>
    <n v="33406061"/>
    <n v="2.76"/>
    <n v="16027412"/>
    <n v="17378649"/>
    <x v="11"/>
    <x v="11"/>
    <n v="17445506"/>
    <n v="15932171"/>
    <n v="38863"/>
    <n v="859"/>
    <n v="4.9000000000000002E-2"/>
  </r>
  <r>
    <n v="13"/>
    <x v="12"/>
    <s v="Ranchi"/>
    <n v="32988134"/>
    <n v="2.72"/>
    <n v="16930315"/>
    <n v="16057819"/>
    <x v="12"/>
    <x v="12"/>
    <n v="25036946"/>
    <n v="7929292"/>
    <n v="79714"/>
    <n v="414"/>
    <n v="0.223"/>
  </r>
  <r>
    <n v="14"/>
    <x v="13"/>
    <s v="Dispur"/>
    <n v="31205576"/>
    <n v="2.58"/>
    <n v="15939443"/>
    <n v="15266133"/>
    <x v="13"/>
    <x v="13"/>
    <n v="26780526"/>
    <n v="4388756"/>
    <n v="78438"/>
    <n v="397"/>
    <n v="0.16900000000000001"/>
  </r>
  <r>
    <n v="15"/>
    <x v="14"/>
    <s v="Chandigarh"/>
    <n v="27743338"/>
    <n v="2.29"/>
    <n v="14639465"/>
    <n v="13103873"/>
    <x v="14"/>
    <x v="14"/>
    <n v="17316800"/>
    <n v="10387436"/>
    <n v="50362"/>
    <n v="550"/>
    <n v="0.13700000000000001"/>
  </r>
  <r>
    <n v="16"/>
    <x v="15"/>
    <s v="Raipur"/>
    <n v="25545198"/>
    <n v="2.11"/>
    <n v="12832895"/>
    <n v="12712303"/>
    <x v="15"/>
    <x v="15"/>
    <n v="19603658"/>
    <n v="5936538"/>
    <n v="135191"/>
    <n v="189"/>
    <n v="0.22600000000000001"/>
  </r>
  <r>
    <n v="17"/>
    <x v="16"/>
    <s v="Chandigarh"/>
    <n v="25351462"/>
    <n v="2.09"/>
    <n v="13494734"/>
    <n v="11856728"/>
    <x v="16"/>
    <x v="16"/>
    <n v="16531493"/>
    <n v="8821588"/>
    <n v="44212"/>
    <n v="573"/>
    <n v="0.19900000000000001"/>
  </r>
  <r>
    <n v="18"/>
    <x v="17"/>
    <s v="Delhi"/>
    <n v="16787941"/>
    <n v="1.39"/>
    <n v="8887326"/>
    <n v="7800615"/>
    <x v="17"/>
    <x v="17"/>
    <n v="944727"/>
    <n v="12905780"/>
    <n v="1484"/>
    <n v="11297"/>
    <n v="0.21"/>
  </r>
  <r>
    <n v="19"/>
    <x v="18"/>
    <s v="Jammu and Kashmir"/>
    <n v="12541302"/>
    <n v="1.04"/>
    <n v="6640662"/>
    <n v="5900640"/>
    <x v="18"/>
    <x v="18"/>
    <n v="9134820"/>
    <n v="3414106"/>
    <n v="222236"/>
    <n v="56"/>
    <n v="0.23699999999999999"/>
  </r>
  <r>
    <n v="20"/>
    <x v="19"/>
    <s v="Dehradun"/>
    <n v="10086292"/>
    <n v="0.83"/>
    <n v="5137773"/>
    <n v="4948519"/>
    <x v="19"/>
    <x v="19"/>
    <n v="7025583"/>
    <n v="3091169"/>
    <n v="53483"/>
    <n v="189"/>
    <n v="0.192"/>
  </r>
  <r>
    <n v="21"/>
    <x v="20"/>
    <s v="Shimla"/>
    <n v="6864602"/>
    <n v="0.56999999999999995"/>
    <n v="3481873"/>
    <n v="3382729"/>
    <x v="20"/>
    <x v="20"/>
    <n v="6167805"/>
    <n v="688704"/>
    <n v="55673"/>
    <n v="123"/>
    <n v="0.128"/>
  </r>
  <r>
    <n v="22"/>
    <x v="21"/>
    <s v="Agartala"/>
    <n v="3673917"/>
    <n v="0.3"/>
    <n v="1874376"/>
    <n v="1799541"/>
    <x v="21"/>
    <x v="21"/>
    <n v="2710051"/>
    <n v="960981"/>
    <n v="10486"/>
    <n v="350"/>
    <n v="0.14699999999999999"/>
  </r>
  <r>
    <n v="23"/>
    <x v="22"/>
    <s v="Shillong"/>
    <n v="2966889"/>
    <n v="0.25"/>
    <n v="1491832"/>
    <n v="1475057"/>
    <x v="22"/>
    <x v="22"/>
    <n v="2368971"/>
    <n v="595036"/>
    <n v="22429"/>
    <n v="132"/>
    <n v="0.27800000000000002"/>
  </r>
  <r>
    <n v="24"/>
    <x v="23"/>
    <s v="Imphal"/>
    <n v="2721756"/>
    <n v="0.21"/>
    <n v="1290171"/>
    <n v="1280219"/>
    <x v="23"/>
    <x v="23"/>
    <n v="1899624"/>
    <n v="822132"/>
    <n v="22327"/>
    <n v="122"/>
    <n v="0.187"/>
  </r>
  <r>
    <n v="25"/>
    <x v="24"/>
    <s v="Kohima"/>
    <n v="1978502"/>
    <n v="0.16"/>
    <n v="1024649"/>
    <n v="953853"/>
    <x v="5"/>
    <x v="24"/>
    <n v="1406861"/>
    <n v="573741"/>
    <n v="16579"/>
    <n v="119"/>
    <n v="5.0000000000000001E-3"/>
  </r>
  <r>
    <n v="26"/>
    <x v="25"/>
    <s v="Panaji"/>
    <n v="1458545"/>
    <n v="0.12"/>
    <n v="739140"/>
    <n v="719405"/>
    <x v="8"/>
    <x v="25"/>
    <n v="551414"/>
    <n v="906309"/>
    <n v="3702"/>
    <n v="394"/>
    <n v="8.2000000000000003E-2"/>
  </r>
  <r>
    <n v="27"/>
    <x v="26"/>
    <s v="Itanagar"/>
    <n v="1383727"/>
    <n v="0.11"/>
    <n v="713912"/>
    <n v="669815"/>
    <x v="24"/>
    <x v="26"/>
    <n v="1069165"/>
    <n v="313446"/>
    <n v="83743"/>
    <n v="17"/>
    <n v="0.25900000000000001"/>
  </r>
  <r>
    <n v="28"/>
    <x v="27"/>
    <s v="Pondicherry"/>
    <n v="1247953"/>
    <n v="0.1"/>
    <n v="612511"/>
    <n v="635442"/>
    <x v="25"/>
    <x v="27"/>
    <n v="394341"/>
    <n v="850123"/>
    <n v="479"/>
    <n v="2598"/>
    <n v="0.27700000000000002"/>
  </r>
  <r>
    <n v="29"/>
    <x v="28"/>
    <s v="Aizawl"/>
    <n v="1097206"/>
    <n v="0.09"/>
    <n v="555339"/>
    <n v="541867"/>
    <x v="26"/>
    <x v="28"/>
    <n v="529037"/>
    <n v="561997"/>
    <n v="21081"/>
    <n v="52"/>
    <n v="0.22800000000000001"/>
  </r>
  <r>
    <n v="30"/>
    <x v="29"/>
    <s v="Chandigarh"/>
    <n v="1055450"/>
    <n v="0.09"/>
    <n v="580663"/>
    <n v="474787"/>
    <x v="27"/>
    <x v="29"/>
    <n v="29004"/>
    <n v="1025682"/>
    <n v="114"/>
    <n v="9252"/>
    <n v="0.17100000000000001"/>
  </r>
  <r>
    <n v="31"/>
    <x v="30"/>
    <s v="Gangtok"/>
    <n v="610577"/>
    <n v="0.05"/>
    <n v="323070"/>
    <n v="287507"/>
    <x v="28"/>
    <x v="30"/>
    <n v="455962"/>
    <n v="151726"/>
    <n v="7096"/>
    <n v="86"/>
    <n v="0.124"/>
  </r>
  <r>
    <n v="32"/>
    <x v="31"/>
    <s v="Port Blair"/>
    <n v="380581"/>
    <n v="0.03"/>
    <n v="202871"/>
    <n v="177710"/>
    <x v="29"/>
    <x v="31"/>
    <n v="244411"/>
    <n v="135533"/>
    <n v="8249"/>
    <n v="46"/>
    <n v="6.7000000000000004E-2"/>
  </r>
  <r>
    <n v="33"/>
    <x v="32"/>
    <s v="Silvassa"/>
    <n v="343709"/>
    <n v="0.03"/>
    <n v="193760"/>
    <n v="149949"/>
    <x v="30"/>
    <x v="32"/>
    <n v="183024"/>
    <n v="159829"/>
    <n v="491"/>
    <n v="698"/>
    <n v="0.55500000000000005"/>
  </r>
  <r>
    <n v="34"/>
    <x v="33"/>
    <s v="Daman"/>
    <n v="243247"/>
    <n v="0.02"/>
    <n v="150301"/>
    <n v="92946"/>
    <x v="31"/>
    <x v="33"/>
    <n v="60331"/>
    <n v="182580"/>
    <n v="112"/>
    <n v="2169"/>
    <n v="0.53500000000000003"/>
  </r>
  <r>
    <n v="35"/>
    <x v="34"/>
    <s v="Kavaratti"/>
    <n v="64473"/>
    <n v="0.01"/>
    <n v="33123"/>
    <n v="31350"/>
    <x v="32"/>
    <x v="34"/>
    <n v="14121"/>
    <n v="50308"/>
    <n v="32"/>
    <n v="2013"/>
    <n v="6.2E-2"/>
  </r>
  <r>
    <m/>
    <x v="35"/>
    <m/>
    <m/>
    <m/>
    <m/>
    <m/>
    <x v="33"/>
    <x v="35"/>
    <m/>
    <m/>
    <m/>
    <m/>
    <m/>
  </r>
  <r>
    <m/>
    <x v="35"/>
    <m/>
    <m/>
    <m/>
    <m/>
    <m/>
    <x v="33"/>
    <x v="35"/>
    <m/>
    <m/>
    <m/>
    <m/>
    <m/>
  </r>
  <r>
    <m/>
    <x v="35"/>
    <m/>
    <m/>
    <m/>
    <m/>
    <m/>
    <x v="33"/>
    <x v="35"/>
    <m/>
    <m/>
    <m/>
    <m/>
    <m/>
  </r>
  <r>
    <m/>
    <x v="35"/>
    <m/>
    <m/>
    <m/>
    <m/>
    <m/>
    <x v="33"/>
    <x v="3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x v="0"/>
    <n v="199812341"/>
    <x v="0"/>
    <x v="0"/>
    <x v="0"/>
    <x v="0"/>
    <x v="0"/>
    <x v="0"/>
    <x v="0"/>
    <x v="0"/>
    <x v="0"/>
    <n v="0.20100000000000001"/>
  </r>
  <r>
    <x v="1"/>
    <x v="1"/>
    <x v="1"/>
    <n v="112374333"/>
    <x v="1"/>
    <x v="1"/>
    <x v="1"/>
    <x v="1"/>
    <x v="1"/>
    <x v="1"/>
    <x v="1"/>
    <x v="1"/>
    <x v="1"/>
    <n v="0.16"/>
  </r>
  <r>
    <x v="2"/>
    <x v="2"/>
    <x v="2"/>
    <n v="104099452"/>
    <x v="2"/>
    <x v="2"/>
    <x v="2"/>
    <x v="2"/>
    <x v="2"/>
    <x v="2"/>
    <x v="2"/>
    <x v="2"/>
    <x v="2"/>
    <n v="0.251"/>
  </r>
  <r>
    <x v="3"/>
    <x v="3"/>
    <x v="3"/>
    <n v="91276115"/>
    <x v="3"/>
    <x v="3"/>
    <x v="3"/>
    <x v="3"/>
    <x v="3"/>
    <x v="3"/>
    <x v="3"/>
    <x v="3"/>
    <x v="3"/>
    <n v="0.13900000000000001"/>
  </r>
  <r>
    <x v="4"/>
    <x v="4"/>
    <x v="4"/>
    <n v="84580777"/>
    <x v="4"/>
    <x v="4"/>
    <x v="4"/>
    <x v="4"/>
    <x v="4"/>
    <x v="4"/>
    <x v="4"/>
    <x v="4"/>
    <x v="4"/>
    <n v="0.10979999999999999"/>
  </r>
  <r>
    <x v="5"/>
    <x v="5"/>
    <x v="5"/>
    <n v="72626809"/>
    <x v="5"/>
    <x v="5"/>
    <x v="5"/>
    <x v="5"/>
    <x v="5"/>
    <x v="5"/>
    <x v="5"/>
    <x v="5"/>
    <x v="5"/>
    <n v="0.20300000000000001"/>
  </r>
  <r>
    <x v="6"/>
    <x v="6"/>
    <x v="6"/>
    <n v="72147030"/>
    <x v="6"/>
    <x v="6"/>
    <x v="6"/>
    <x v="6"/>
    <x v="6"/>
    <x v="6"/>
    <x v="6"/>
    <x v="6"/>
    <x v="6"/>
    <n v="0.156"/>
  </r>
  <r>
    <x v="7"/>
    <x v="7"/>
    <x v="7"/>
    <n v="68548437"/>
    <x v="7"/>
    <x v="7"/>
    <x v="7"/>
    <x v="7"/>
    <x v="7"/>
    <x v="7"/>
    <x v="7"/>
    <x v="7"/>
    <x v="7"/>
    <n v="0.214"/>
  </r>
  <r>
    <x v="8"/>
    <x v="8"/>
    <x v="8"/>
    <n v="61095297"/>
    <x v="8"/>
    <x v="8"/>
    <x v="8"/>
    <x v="8"/>
    <x v="8"/>
    <x v="8"/>
    <x v="8"/>
    <x v="8"/>
    <x v="8"/>
    <n v="0.157"/>
  </r>
  <r>
    <x v="9"/>
    <x v="9"/>
    <x v="9"/>
    <n v="60439692"/>
    <x v="9"/>
    <x v="9"/>
    <x v="9"/>
    <x v="9"/>
    <x v="9"/>
    <x v="9"/>
    <x v="9"/>
    <x v="9"/>
    <x v="4"/>
    <n v="0.192"/>
  </r>
  <r>
    <x v="10"/>
    <x v="10"/>
    <x v="10"/>
    <n v="41974218"/>
    <x v="10"/>
    <x v="10"/>
    <x v="10"/>
    <x v="10"/>
    <x v="10"/>
    <x v="10"/>
    <x v="10"/>
    <x v="10"/>
    <x v="9"/>
    <n v="0.14000000000000001"/>
  </r>
  <r>
    <x v="11"/>
    <x v="11"/>
    <x v="11"/>
    <n v="33406061"/>
    <x v="11"/>
    <x v="11"/>
    <x v="11"/>
    <x v="11"/>
    <x v="11"/>
    <x v="11"/>
    <x v="11"/>
    <x v="11"/>
    <x v="10"/>
    <n v="4.9000000000000002E-2"/>
  </r>
  <r>
    <x v="12"/>
    <x v="12"/>
    <x v="12"/>
    <n v="32988134"/>
    <x v="12"/>
    <x v="12"/>
    <x v="12"/>
    <x v="12"/>
    <x v="12"/>
    <x v="12"/>
    <x v="12"/>
    <x v="12"/>
    <x v="11"/>
    <n v="0.223"/>
  </r>
  <r>
    <x v="13"/>
    <x v="13"/>
    <x v="13"/>
    <n v="31205576"/>
    <x v="13"/>
    <x v="13"/>
    <x v="13"/>
    <x v="13"/>
    <x v="13"/>
    <x v="13"/>
    <x v="13"/>
    <x v="13"/>
    <x v="12"/>
    <n v="0.16900000000000001"/>
  </r>
  <r>
    <x v="14"/>
    <x v="14"/>
    <x v="14"/>
    <n v="27743338"/>
    <x v="14"/>
    <x v="14"/>
    <x v="14"/>
    <x v="14"/>
    <x v="14"/>
    <x v="14"/>
    <x v="14"/>
    <x v="14"/>
    <x v="13"/>
    <n v="0.13700000000000001"/>
  </r>
  <r>
    <x v="15"/>
    <x v="15"/>
    <x v="15"/>
    <n v="25545198"/>
    <x v="15"/>
    <x v="15"/>
    <x v="15"/>
    <x v="15"/>
    <x v="15"/>
    <x v="15"/>
    <x v="15"/>
    <x v="15"/>
    <x v="14"/>
    <n v="0.22600000000000001"/>
  </r>
  <r>
    <x v="16"/>
    <x v="16"/>
    <x v="14"/>
    <n v="25351462"/>
    <x v="16"/>
    <x v="16"/>
    <x v="16"/>
    <x v="16"/>
    <x v="16"/>
    <x v="16"/>
    <x v="16"/>
    <x v="16"/>
    <x v="15"/>
    <n v="0.19900000000000001"/>
  </r>
  <r>
    <x v="17"/>
    <x v="17"/>
    <x v="16"/>
    <n v="16787941"/>
    <x v="17"/>
    <x v="17"/>
    <x v="17"/>
    <x v="17"/>
    <x v="17"/>
    <x v="17"/>
    <x v="17"/>
    <x v="17"/>
    <x v="16"/>
    <n v="0.21"/>
  </r>
  <r>
    <x v="18"/>
    <x v="18"/>
    <x v="17"/>
    <n v="12541302"/>
    <x v="18"/>
    <x v="18"/>
    <x v="18"/>
    <x v="18"/>
    <x v="18"/>
    <x v="18"/>
    <x v="18"/>
    <x v="18"/>
    <x v="17"/>
    <n v="0.23699999999999999"/>
  </r>
  <r>
    <x v="19"/>
    <x v="19"/>
    <x v="18"/>
    <n v="10086292"/>
    <x v="19"/>
    <x v="19"/>
    <x v="19"/>
    <x v="19"/>
    <x v="19"/>
    <x v="19"/>
    <x v="19"/>
    <x v="19"/>
    <x v="14"/>
    <n v="0.192"/>
  </r>
  <r>
    <x v="20"/>
    <x v="20"/>
    <x v="19"/>
    <n v="6864602"/>
    <x v="20"/>
    <x v="20"/>
    <x v="20"/>
    <x v="20"/>
    <x v="20"/>
    <x v="20"/>
    <x v="20"/>
    <x v="20"/>
    <x v="18"/>
    <n v="0.128"/>
  </r>
  <r>
    <x v="21"/>
    <x v="21"/>
    <x v="20"/>
    <n v="3673917"/>
    <x v="21"/>
    <x v="21"/>
    <x v="21"/>
    <x v="21"/>
    <x v="21"/>
    <x v="21"/>
    <x v="21"/>
    <x v="21"/>
    <x v="19"/>
    <n v="0.14699999999999999"/>
  </r>
  <r>
    <x v="22"/>
    <x v="22"/>
    <x v="21"/>
    <n v="2966889"/>
    <x v="22"/>
    <x v="22"/>
    <x v="22"/>
    <x v="22"/>
    <x v="22"/>
    <x v="22"/>
    <x v="22"/>
    <x v="22"/>
    <x v="20"/>
    <n v="0.27800000000000002"/>
  </r>
  <r>
    <x v="23"/>
    <x v="23"/>
    <x v="22"/>
    <n v="2721756"/>
    <x v="23"/>
    <x v="23"/>
    <x v="23"/>
    <x v="23"/>
    <x v="23"/>
    <x v="23"/>
    <x v="23"/>
    <x v="23"/>
    <x v="21"/>
    <n v="0.187"/>
  </r>
  <r>
    <x v="24"/>
    <x v="24"/>
    <x v="23"/>
    <n v="1978502"/>
    <x v="24"/>
    <x v="24"/>
    <x v="24"/>
    <x v="5"/>
    <x v="24"/>
    <x v="24"/>
    <x v="24"/>
    <x v="24"/>
    <x v="22"/>
    <n v="5.0000000000000001E-3"/>
  </r>
  <r>
    <x v="25"/>
    <x v="25"/>
    <x v="24"/>
    <n v="1458545"/>
    <x v="25"/>
    <x v="25"/>
    <x v="25"/>
    <x v="8"/>
    <x v="25"/>
    <x v="25"/>
    <x v="25"/>
    <x v="25"/>
    <x v="23"/>
    <n v="8.2000000000000003E-2"/>
  </r>
  <r>
    <x v="26"/>
    <x v="26"/>
    <x v="25"/>
    <n v="1383727"/>
    <x v="26"/>
    <x v="26"/>
    <x v="26"/>
    <x v="24"/>
    <x v="26"/>
    <x v="26"/>
    <x v="26"/>
    <x v="26"/>
    <x v="24"/>
    <n v="0.25900000000000001"/>
  </r>
  <r>
    <x v="27"/>
    <x v="27"/>
    <x v="26"/>
    <n v="1247953"/>
    <x v="27"/>
    <x v="27"/>
    <x v="27"/>
    <x v="25"/>
    <x v="27"/>
    <x v="27"/>
    <x v="27"/>
    <x v="27"/>
    <x v="25"/>
    <n v="0.27700000000000002"/>
  </r>
  <r>
    <x v="28"/>
    <x v="28"/>
    <x v="27"/>
    <n v="1097206"/>
    <x v="28"/>
    <x v="28"/>
    <x v="28"/>
    <x v="26"/>
    <x v="28"/>
    <x v="28"/>
    <x v="28"/>
    <x v="28"/>
    <x v="26"/>
    <n v="0.22800000000000001"/>
  </r>
  <r>
    <x v="29"/>
    <x v="29"/>
    <x v="14"/>
    <n v="1055450"/>
    <x v="28"/>
    <x v="29"/>
    <x v="29"/>
    <x v="27"/>
    <x v="29"/>
    <x v="29"/>
    <x v="29"/>
    <x v="29"/>
    <x v="27"/>
    <n v="0.17100000000000001"/>
  </r>
  <r>
    <x v="30"/>
    <x v="30"/>
    <x v="28"/>
    <n v="610577"/>
    <x v="29"/>
    <x v="30"/>
    <x v="30"/>
    <x v="28"/>
    <x v="30"/>
    <x v="30"/>
    <x v="30"/>
    <x v="30"/>
    <x v="28"/>
    <n v="0.124"/>
  </r>
  <r>
    <x v="31"/>
    <x v="31"/>
    <x v="29"/>
    <n v="380581"/>
    <x v="30"/>
    <x v="31"/>
    <x v="31"/>
    <x v="29"/>
    <x v="31"/>
    <x v="31"/>
    <x v="31"/>
    <x v="31"/>
    <x v="29"/>
    <n v="6.7000000000000004E-2"/>
  </r>
  <r>
    <x v="32"/>
    <x v="32"/>
    <x v="30"/>
    <n v="343709"/>
    <x v="30"/>
    <x v="32"/>
    <x v="32"/>
    <x v="30"/>
    <x v="32"/>
    <x v="32"/>
    <x v="32"/>
    <x v="32"/>
    <x v="30"/>
    <n v="0.55500000000000005"/>
  </r>
  <r>
    <x v="33"/>
    <x v="33"/>
    <x v="31"/>
    <n v="243247"/>
    <x v="31"/>
    <x v="33"/>
    <x v="33"/>
    <x v="31"/>
    <x v="33"/>
    <x v="33"/>
    <x v="33"/>
    <x v="33"/>
    <x v="31"/>
    <n v="0.53500000000000003"/>
  </r>
  <r>
    <x v="34"/>
    <x v="34"/>
    <x v="32"/>
    <n v="64473"/>
    <x v="32"/>
    <x v="34"/>
    <x v="34"/>
    <x v="32"/>
    <x v="34"/>
    <x v="34"/>
    <x v="34"/>
    <x v="34"/>
    <x v="32"/>
    <n v="6.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21C4D-F7A7-4C69-9E5C-A505D3EFBF2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Q41" firstHeaderRow="1" firstDataRow="1" firstDataCol="1" rowPageCount="1" colPageCount="1"/>
  <pivotFields count="14">
    <pivotField showAll="0"/>
    <pivotField axis="axisRow" showAll="0">
      <items count="36">
        <item x="31"/>
        <item x="4"/>
        <item x="26"/>
        <item x="13"/>
        <item x="2"/>
        <item x="29"/>
        <item x="15"/>
        <item x="32"/>
        <item x="33"/>
        <item x="17"/>
        <item x="25"/>
        <item x="9"/>
        <item x="16"/>
        <item x="20"/>
        <item x="18"/>
        <item x="12"/>
        <item x="8"/>
        <item x="11"/>
        <item x="34"/>
        <item x="5"/>
        <item x="1"/>
        <item x="23"/>
        <item x="22"/>
        <item x="28"/>
        <item x="24"/>
        <item x="10"/>
        <item x="27"/>
        <item x="14"/>
        <item x="7"/>
        <item x="30"/>
        <item x="6"/>
        <item x="21"/>
        <item x="0"/>
        <item x="19"/>
        <item x="3"/>
        <item t="default"/>
      </items>
    </pivotField>
    <pivotField showAll="0"/>
    <pivotField numFmtId="3" showAll="0"/>
    <pivotField showAll="0"/>
    <pivotField numFmtId="3" showAll="0"/>
    <pivotField axis="axisPage" numFmtId="3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5"/>
        <item x="6"/>
        <item x="4"/>
        <item x="3"/>
        <item x="2"/>
        <item x="1"/>
        <item x="0"/>
        <item t="default"/>
      </items>
    </pivotField>
    <pivotField showAll="0"/>
    <pivotField showAll="0"/>
    <pivotField dataField="1" numFmtId="3" showAll="0"/>
    <pivotField numFmtId="3" showAll="0"/>
    <pivotField showAll="0"/>
    <pivotField showAll="0"/>
    <pivotField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6" hier="-1"/>
  </pageFields>
  <dataFields count="1">
    <dataField name="Sum of Rural Population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9E64C-34E6-49FF-ABC4-DCBA46C9B4F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K39" firstHeaderRow="0" firstDataRow="1" firstDataCol="1" rowPageCount="1" colPageCount="1"/>
  <pivotFields count="14">
    <pivotField showAll="0"/>
    <pivotField showAll="0">
      <items count="36">
        <item x="31"/>
        <item x="4"/>
        <item x="26"/>
        <item x="13"/>
        <item x="2"/>
        <item x="29"/>
        <item x="15"/>
        <item x="32"/>
        <item x="33"/>
        <item x="17"/>
        <item x="25"/>
        <item x="9"/>
        <item x="16"/>
        <item x="20"/>
        <item x="18"/>
        <item x="12"/>
        <item x="8"/>
        <item x="11"/>
        <item x="34"/>
        <item x="5"/>
        <item x="1"/>
        <item x="23"/>
        <item x="22"/>
        <item x="28"/>
        <item x="24"/>
        <item x="10"/>
        <item x="27"/>
        <item x="14"/>
        <item x="7"/>
        <item x="30"/>
        <item x="6"/>
        <item x="21"/>
        <item x="0"/>
        <item x="19"/>
        <item x="3"/>
        <item t="default"/>
      </items>
    </pivotField>
    <pivotField axis="axisRow" showAll="0">
      <items count="34">
        <item x="20"/>
        <item x="27"/>
        <item x="8"/>
        <item x="5"/>
        <item x="10"/>
        <item x="14"/>
        <item x="6"/>
        <item x="31"/>
        <item x="18"/>
        <item x="16"/>
        <item x="13"/>
        <item x="9"/>
        <item x="28"/>
        <item x="4"/>
        <item x="22"/>
        <item x="25"/>
        <item x="7"/>
        <item x="17"/>
        <item x="32"/>
        <item x="23"/>
        <item x="3"/>
        <item x="0"/>
        <item x="1"/>
        <item x="24"/>
        <item x="2"/>
        <item x="26"/>
        <item x="29"/>
        <item x="15"/>
        <item x="12"/>
        <item x="21"/>
        <item x="19"/>
        <item x="30"/>
        <item x="11"/>
        <item t="default"/>
      </items>
    </pivotField>
    <pivotField numFmtId="3" showAll="0"/>
    <pivotField axis="axisPage" showAl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3" showAll="0"/>
    <pivotField numFmtId="3" showAll="0"/>
    <pivotField showAll="0"/>
    <pivotField showAll="0"/>
    <pivotField dataField="1" numFmtId="3" showAll="0"/>
    <pivotField dataField="1" numFmtId="3" showAll="0"/>
    <pivotField showAll="0"/>
    <pivotField showAll="0"/>
    <pivotField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 of Urban Population" fld="10" baseField="0" baseItem="0" numFmtId="3"/>
    <dataField name="Sum of Rural Population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C2D54-EA66-46DD-A52C-DBEC61E2F94E}" name="PivotTable2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5:G41" firstHeaderRow="0" firstDataRow="1" firstDataCol="1" rowPageCount="2" colPageCount="1"/>
  <pivotFields count="14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36">
        <item x="31"/>
        <item x="4"/>
        <item x="26"/>
        <item x="13"/>
        <item x="2"/>
        <item x="29"/>
        <item x="15"/>
        <item x="32"/>
        <item x="33"/>
        <item x="17"/>
        <item x="25"/>
        <item x="9"/>
        <item x="16"/>
        <item x="20"/>
        <item x="18"/>
        <item x="12"/>
        <item x="8"/>
        <item x="11"/>
        <item x="34"/>
        <item x="5"/>
        <item x="1"/>
        <item x="23"/>
        <item x="22"/>
        <item x="28"/>
        <item x="24"/>
        <item x="10"/>
        <item x="27"/>
        <item x="14"/>
        <item x="7"/>
        <item x="30"/>
        <item x="6"/>
        <item x="21"/>
        <item x="0"/>
        <item x="19"/>
        <item x="3"/>
        <item t="default"/>
      </items>
    </pivotField>
    <pivotField showAll="0">
      <items count="34">
        <item x="20"/>
        <item x="27"/>
        <item x="8"/>
        <item x="5"/>
        <item x="10"/>
        <item x="14"/>
        <item x="6"/>
        <item x="31"/>
        <item x="18"/>
        <item x="16"/>
        <item x="13"/>
        <item x="9"/>
        <item x="28"/>
        <item x="4"/>
        <item x="22"/>
        <item x="25"/>
        <item x="7"/>
        <item x="17"/>
        <item x="32"/>
        <item x="23"/>
        <item x="3"/>
        <item x="0"/>
        <item x="1"/>
        <item x="24"/>
        <item x="2"/>
        <item x="26"/>
        <item x="29"/>
        <item x="15"/>
        <item x="12"/>
        <item x="21"/>
        <item x="19"/>
        <item x="30"/>
        <item x="11"/>
        <item t="default"/>
      </items>
    </pivotField>
    <pivotField numFmtId="3" showAll="0"/>
    <pivotField showAll="0"/>
    <pivotField dataField="1" numFmtId="3" showAll="0">
      <items count="36">
        <item x="34"/>
        <item x="33"/>
        <item x="32"/>
        <item x="31"/>
        <item x="30"/>
        <item x="28"/>
        <item x="29"/>
        <item x="27"/>
        <item x="26"/>
        <item x="25"/>
        <item x="24"/>
        <item x="23"/>
        <item x="22"/>
        <item x="21"/>
        <item x="20"/>
        <item x="19"/>
        <item x="18"/>
        <item x="17"/>
        <item x="15"/>
        <item x="16"/>
        <item x="14"/>
        <item x="13"/>
        <item x="11"/>
        <item x="12"/>
        <item x="10"/>
        <item x="8"/>
        <item x="9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3" showAll="0"/>
    <pivotField multipleItemSelectionAllowed="1" showAll="0">
      <items count="34">
        <item x="31"/>
        <item x="30"/>
        <item x="27"/>
        <item x="17"/>
        <item x="29"/>
        <item x="16"/>
        <item x="18"/>
        <item x="28"/>
        <item x="14"/>
        <item x="0"/>
        <item x="2"/>
        <item x="9"/>
        <item x="7"/>
        <item x="1"/>
        <item x="5"/>
        <item x="24"/>
        <item x="32"/>
        <item x="12"/>
        <item x="3"/>
        <item x="13"/>
        <item x="21"/>
        <item x="19"/>
        <item x="20"/>
        <item x="8"/>
        <item x="26"/>
        <item x="10"/>
        <item x="22"/>
        <item x="15"/>
        <item x="23"/>
        <item x="4"/>
        <item x="6"/>
        <item x="25"/>
        <item x="11"/>
        <item t="default"/>
      </items>
    </pivotField>
    <pivotField showAll="0">
      <items count="36">
        <item x="2"/>
        <item x="26"/>
        <item x="7"/>
        <item x="12"/>
        <item x="4"/>
        <item x="18"/>
        <item x="0"/>
        <item x="5"/>
        <item x="15"/>
        <item x="13"/>
        <item x="10"/>
        <item x="22"/>
        <item x="8"/>
        <item x="16"/>
        <item x="14"/>
        <item x="32"/>
        <item x="3"/>
        <item x="9"/>
        <item x="23"/>
        <item x="24"/>
        <item x="19"/>
        <item x="6"/>
        <item x="30"/>
        <item x="1"/>
        <item x="20"/>
        <item x="27"/>
        <item x="29"/>
        <item x="17"/>
        <item x="31"/>
        <item x="33"/>
        <item x="21"/>
        <item x="25"/>
        <item x="28"/>
        <item x="34"/>
        <item x="11"/>
        <item t="default"/>
      </items>
    </pivotField>
    <pivotField axis="axisPage" numFmtId="3" showAll="0">
      <items count="36">
        <item x="34"/>
        <item x="29"/>
        <item x="33"/>
        <item x="32"/>
        <item x="31"/>
        <item x="27"/>
        <item x="30"/>
        <item x="28"/>
        <item x="25"/>
        <item x="17"/>
        <item x="26"/>
        <item x="24"/>
        <item x="23"/>
        <item x="22"/>
        <item x="21"/>
        <item x="20"/>
        <item x="19"/>
        <item x="18"/>
        <item x="16"/>
        <item x="14"/>
        <item x="11"/>
        <item x="15"/>
        <item x="12"/>
        <item x="13"/>
        <item x="9"/>
        <item x="10"/>
        <item x="6"/>
        <item x="8"/>
        <item x="7"/>
        <item x="5"/>
        <item x="4"/>
        <item x="1"/>
        <item x="3"/>
        <item x="2"/>
        <item x="0"/>
        <item t="default"/>
      </items>
    </pivotField>
    <pivotField axis="axisPage" numFmtId="3" showAll="0">
      <items count="36">
        <item x="34"/>
        <item x="31"/>
        <item x="30"/>
        <item x="32"/>
        <item x="33"/>
        <item x="26"/>
        <item x="28"/>
        <item x="24"/>
        <item x="22"/>
        <item x="20"/>
        <item x="23"/>
        <item x="27"/>
        <item x="25"/>
        <item x="21"/>
        <item x="29"/>
        <item x="19"/>
        <item x="18"/>
        <item x="13"/>
        <item x="15"/>
        <item x="10"/>
        <item x="12"/>
        <item x="16"/>
        <item x="14"/>
        <item x="2"/>
        <item x="17"/>
        <item x="11"/>
        <item x="7"/>
        <item x="5"/>
        <item x="8"/>
        <item x="9"/>
        <item x="4"/>
        <item x="3"/>
        <item x="6"/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Sum of Females" fld="6" baseField="0" baseItem="0" numFmtId="3"/>
    <dataField name="Sum of Males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3E7D3-975D-432E-ACA4-EC6B906FDD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 rowPageCount="1" colPageCount="1"/>
  <pivotFields count="14">
    <pivotField showAll="0"/>
    <pivotField axis="axisRow" showAll="0">
      <items count="37">
        <item x="31"/>
        <item x="4"/>
        <item x="26"/>
        <item x="13"/>
        <item x="2"/>
        <item x="29"/>
        <item x="15"/>
        <item x="32"/>
        <item x="33"/>
        <item x="17"/>
        <item x="25"/>
        <item x="9"/>
        <item x="16"/>
        <item x="20"/>
        <item x="18"/>
        <item x="12"/>
        <item x="8"/>
        <item x="11"/>
        <item x="34"/>
        <item x="5"/>
        <item x="1"/>
        <item x="23"/>
        <item x="22"/>
        <item x="28"/>
        <item x="24"/>
        <item x="10"/>
        <item x="27"/>
        <item x="14"/>
        <item x="7"/>
        <item x="30"/>
        <item x="6"/>
        <item x="21"/>
        <item x="0"/>
        <item x="19"/>
        <item x="3"/>
        <item x="35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31"/>
        <item x="30"/>
        <item x="27"/>
        <item x="17"/>
        <item x="29"/>
        <item x="16"/>
        <item x="18"/>
        <item x="28"/>
        <item x="14"/>
        <item x="0"/>
        <item x="2"/>
        <item x="9"/>
        <item x="7"/>
        <item x="1"/>
        <item x="5"/>
        <item x="24"/>
        <item x="32"/>
        <item x="12"/>
        <item x="3"/>
        <item x="13"/>
        <item x="21"/>
        <item x="19"/>
        <item x="20"/>
        <item x="8"/>
        <item x="26"/>
        <item x="10"/>
        <item x="22"/>
        <item x="15"/>
        <item x="23"/>
        <item x="4"/>
        <item x="6"/>
        <item x="25"/>
        <item x="11"/>
        <item x="33"/>
        <item t="default"/>
      </items>
    </pivotField>
    <pivotField axis="axisPage" multipleItemSelectionAllowed="1" showAll="0">
      <items count="37">
        <item h="1" x="2"/>
        <item h="1" x="26"/>
        <item h="1" x="7"/>
        <item h="1" x="12"/>
        <item h="1" x="4"/>
        <item h="1" x="18"/>
        <item h="1" x="0"/>
        <item h="1" x="5"/>
        <item h="1" x="15"/>
        <item h="1" x="13"/>
        <item h="1" x="10"/>
        <item h="1" x="22"/>
        <item h="1" x="8"/>
        <item h="1" x="16"/>
        <item x="14"/>
        <item x="32"/>
        <item h="1" x="3"/>
        <item h="1" x="9"/>
        <item h="1" x="23"/>
        <item h="1" x="24"/>
        <item x="19"/>
        <item h="1" x="6"/>
        <item h="1" x="30"/>
        <item h="1" x="1"/>
        <item h="1" x="20"/>
        <item h="1" x="27"/>
        <item h="1" x="29"/>
        <item h="1" x="17"/>
        <item x="31"/>
        <item h="1" x="33"/>
        <item h="1" x="21"/>
        <item h="1" x="25"/>
        <item h="1" x="28"/>
        <item x="34"/>
        <item x="11"/>
        <item h="1" x="35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7"/>
    </i>
    <i>
      <x v="17"/>
    </i>
    <i>
      <x v="18"/>
    </i>
    <i>
      <x v="27"/>
    </i>
    <i>
      <x v="33"/>
    </i>
    <i t="grand">
      <x/>
    </i>
  </rowItems>
  <colItems count="1">
    <i/>
  </colItems>
  <pageFields count="1">
    <pageField fld="8" hier="-1"/>
  </pageFields>
  <dataFields count="1">
    <dataField name="Sum of Rural Popula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B912B-B7BC-4364-BBA6-38B4B0148DF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76" firstHeaderRow="1" firstDataRow="1" firstDataCol="1" rowPageCount="1" colPageCount="1"/>
  <pivotFields count="14">
    <pivotField showAll="0"/>
    <pivotField axis="axisRow" showAll="0">
      <items count="36">
        <item x="31"/>
        <item x="4"/>
        <item x="26"/>
        <item x="13"/>
        <item x="2"/>
        <item x="29"/>
        <item x="15"/>
        <item x="32"/>
        <item x="33"/>
        <item x="17"/>
        <item x="25"/>
        <item x="9"/>
        <item x="16"/>
        <item x="20"/>
        <item x="18"/>
        <item x="12"/>
        <item x="8"/>
        <item x="11"/>
        <item x="34"/>
        <item x="5"/>
        <item x="1"/>
        <item x="23"/>
        <item x="22"/>
        <item x="28"/>
        <item x="24"/>
        <item x="10"/>
        <item x="27"/>
        <item x="14"/>
        <item x="7"/>
        <item x="30"/>
        <item x="6"/>
        <item x="21"/>
        <item x="0"/>
        <item x="19"/>
        <item x="3"/>
        <item t="default"/>
      </items>
    </pivotField>
    <pivotField axis="axisRow" showAll="0">
      <items count="34">
        <item x="20"/>
        <item x="27"/>
        <item x="8"/>
        <item x="5"/>
        <item x="10"/>
        <item x="14"/>
        <item x="6"/>
        <item x="31"/>
        <item x="18"/>
        <item x="16"/>
        <item x="13"/>
        <item x="9"/>
        <item x="28"/>
        <item x="4"/>
        <item x="22"/>
        <item x="25"/>
        <item x="7"/>
        <item x="17"/>
        <item x="32"/>
        <item x="23"/>
        <item x="3"/>
        <item x="0"/>
        <item x="1"/>
        <item x="24"/>
        <item x="2"/>
        <item x="26"/>
        <item x="29"/>
        <item x="15"/>
        <item x="12"/>
        <item x="21"/>
        <item x="19"/>
        <item x="30"/>
        <item x="11"/>
        <item t="default"/>
      </items>
    </pivotField>
    <pivotField numFmtId="3" showAll="0"/>
    <pivotField dataField="1" showAll="0"/>
    <pivotField numFmtId="3" showAll="0"/>
    <pivotField numFmtId="3" showAll="0"/>
    <pivotField showAll="0"/>
    <pivotField showAll="0"/>
    <pivotField numFmtId="3" showAll="0"/>
    <pivotField numFmtId="3" showAll="0"/>
    <pivotField axis="axisPage" showAll="0">
      <items count="36">
        <item x="34"/>
        <item x="33"/>
        <item x="29"/>
        <item x="27"/>
        <item x="32"/>
        <item x="17"/>
        <item x="25"/>
        <item x="30"/>
        <item x="31"/>
        <item x="21"/>
        <item x="24"/>
        <item x="28"/>
        <item x="23"/>
        <item x="22"/>
        <item x="11"/>
        <item x="16"/>
        <item x="14"/>
        <item x="19"/>
        <item x="20"/>
        <item x="13"/>
        <item x="12"/>
        <item x="26"/>
        <item x="3"/>
        <item x="2"/>
        <item x="6"/>
        <item x="15"/>
        <item x="10"/>
        <item x="8"/>
        <item x="9"/>
        <item x="18"/>
        <item x="0"/>
        <item x="4"/>
        <item x="1"/>
        <item x="5"/>
        <item x="7"/>
        <item t="default"/>
      </items>
    </pivotField>
    <pivotField showAll="0">
      <items count="34">
        <item x="24"/>
        <item x="29"/>
        <item x="26"/>
        <item x="17"/>
        <item x="28"/>
        <item x="22"/>
        <item x="21"/>
        <item x="18"/>
        <item x="20"/>
        <item x="14"/>
        <item x="7"/>
        <item x="5"/>
        <item x="9"/>
        <item x="4"/>
        <item x="8"/>
        <item x="19"/>
        <item x="1"/>
        <item x="23"/>
        <item x="12"/>
        <item x="11"/>
        <item x="13"/>
        <item x="6"/>
        <item x="15"/>
        <item x="30"/>
        <item x="0"/>
        <item x="10"/>
        <item x="3"/>
        <item x="2"/>
        <item x="32"/>
        <item x="31"/>
        <item x="25"/>
        <item x="27"/>
        <item x="16"/>
        <item t="default"/>
      </items>
    </pivotField>
    <pivotField showAll="0"/>
  </pivotFields>
  <rowFields count="2">
    <field x="1"/>
    <field x="2"/>
  </rowFields>
  <rowItems count="71">
    <i>
      <x/>
    </i>
    <i r="1">
      <x v="26"/>
    </i>
    <i>
      <x v="1"/>
    </i>
    <i r="1">
      <x v="13"/>
    </i>
    <i>
      <x v="2"/>
    </i>
    <i r="1">
      <x v="15"/>
    </i>
    <i>
      <x v="3"/>
    </i>
    <i r="1">
      <x v="10"/>
    </i>
    <i>
      <x v="4"/>
    </i>
    <i r="1">
      <x v="24"/>
    </i>
    <i>
      <x v="5"/>
    </i>
    <i r="1">
      <x v="5"/>
    </i>
    <i>
      <x v="6"/>
    </i>
    <i r="1">
      <x v="27"/>
    </i>
    <i>
      <x v="7"/>
    </i>
    <i r="1">
      <x v="31"/>
    </i>
    <i>
      <x v="8"/>
    </i>
    <i r="1">
      <x v="7"/>
    </i>
    <i>
      <x v="9"/>
    </i>
    <i r="1">
      <x v="9"/>
    </i>
    <i>
      <x v="10"/>
    </i>
    <i r="1">
      <x v="23"/>
    </i>
    <i>
      <x v="11"/>
    </i>
    <i r="1">
      <x v="11"/>
    </i>
    <i>
      <x v="12"/>
    </i>
    <i r="1">
      <x v="5"/>
    </i>
    <i>
      <x v="13"/>
    </i>
    <i r="1">
      <x v="30"/>
    </i>
    <i>
      <x v="14"/>
    </i>
    <i r="1">
      <x v="17"/>
    </i>
    <i>
      <x v="15"/>
    </i>
    <i r="1">
      <x v="28"/>
    </i>
    <i>
      <x v="16"/>
    </i>
    <i r="1">
      <x v="2"/>
    </i>
    <i>
      <x v="17"/>
    </i>
    <i r="1">
      <x v="32"/>
    </i>
    <i>
      <x v="18"/>
    </i>
    <i r="1">
      <x v="18"/>
    </i>
    <i>
      <x v="19"/>
    </i>
    <i r="1">
      <x v="3"/>
    </i>
    <i>
      <x v="20"/>
    </i>
    <i r="1">
      <x v="22"/>
    </i>
    <i>
      <x v="21"/>
    </i>
    <i r="1">
      <x v="14"/>
    </i>
    <i>
      <x v="22"/>
    </i>
    <i r="1">
      <x v="29"/>
    </i>
    <i>
      <x v="23"/>
    </i>
    <i r="1">
      <x v="1"/>
    </i>
    <i>
      <x v="24"/>
    </i>
    <i r="1">
      <x v="19"/>
    </i>
    <i>
      <x v="25"/>
    </i>
    <i r="1">
      <x v="4"/>
    </i>
    <i>
      <x v="26"/>
    </i>
    <i r="1">
      <x v="25"/>
    </i>
    <i>
      <x v="27"/>
    </i>
    <i r="1">
      <x v="5"/>
    </i>
    <i>
      <x v="28"/>
    </i>
    <i r="1">
      <x v="16"/>
    </i>
    <i>
      <x v="29"/>
    </i>
    <i r="1">
      <x v="12"/>
    </i>
    <i>
      <x v="30"/>
    </i>
    <i r="1">
      <x v="6"/>
    </i>
    <i>
      <x v="31"/>
    </i>
    <i r="1">
      <x/>
    </i>
    <i>
      <x v="32"/>
    </i>
    <i r="1">
      <x v="21"/>
    </i>
    <i>
      <x v="33"/>
    </i>
    <i r="1">
      <x v="8"/>
    </i>
    <i>
      <x v="34"/>
    </i>
    <i r="1">
      <x v="20"/>
    </i>
    <i t="grand">
      <x/>
    </i>
  </rowItems>
  <colItems count="1">
    <i/>
  </colItems>
  <pageFields count="1">
    <pageField fld="11" hier="-1"/>
  </pageFields>
  <dataFields count="1">
    <dataField name="Sum of % of Total Populati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803B-473D-4139-8382-CDF1ADD61D0B}">
  <dimension ref="A1:N36"/>
  <sheetViews>
    <sheetView tabSelected="1" zoomScale="90" workbookViewId="0">
      <selection activeCell="E23" sqref="A1:N36"/>
    </sheetView>
  </sheetViews>
  <sheetFormatPr defaultRowHeight="14.4" x14ac:dyDescent="0.3"/>
  <cols>
    <col min="1" max="1" width="5.33203125" bestFit="1" customWidth="1"/>
    <col min="2" max="2" width="26.6640625" bestFit="1" customWidth="1"/>
    <col min="3" max="3" width="18.6640625" bestFit="1" customWidth="1"/>
    <col min="4" max="4" width="12.5546875" bestFit="1" customWidth="1"/>
    <col min="5" max="5" width="19.109375" bestFit="1" customWidth="1"/>
    <col min="6" max="6" width="12.5546875" bestFit="1" customWidth="1"/>
    <col min="7" max="7" width="11.44140625" bestFit="1" customWidth="1"/>
    <col min="8" max="8" width="12" bestFit="1" customWidth="1"/>
    <col min="9" max="9" width="15" bestFit="1" customWidth="1"/>
    <col min="10" max="10" width="15.21875" bestFit="1" customWidth="1"/>
    <col min="11" max="11" width="16" bestFit="1" customWidth="1"/>
    <col min="12" max="12" width="12.5546875" bestFit="1" customWidth="1"/>
    <col min="13" max="13" width="17.109375" bestFit="1" customWidth="1"/>
    <col min="14" max="14" width="1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>
        <v>1</v>
      </c>
      <c r="B2" s="2" t="s">
        <v>13</v>
      </c>
      <c r="C2" s="2" t="s">
        <v>14</v>
      </c>
      <c r="D2" s="3">
        <v>199812341</v>
      </c>
      <c r="E2" s="2">
        <v>16.5</v>
      </c>
      <c r="F2" s="3">
        <v>104480510</v>
      </c>
      <c r="G2" s="3">
        <v>95331831</v>
      </c>
      <c r="H2" s="2">
        <v>912</v>
      </c>
      <c r="I2" s="2">
        <v>67.680000000000007</v>
      </c>
      <c r="J2" s="3">
        <v>155111022</v>
      </c>
      <c r="K2" s="3">
        <v>44470455</v>
      </c>
      <c r="L2" s="3">
        <v>240928</v>
      </c>
      <c r="M2" s="2">
        <v>828</v>
      </c>
      <c r="N2" s="4">
        <v>0.20100000000000001</v>
      </c>
    </row>
    <row r="3" spans="1:14" x14ac:dyDescent="0.3">
      <c r="A3" s="2">
        <v>2</v>
      </c>
      <c r="B3" s="2" t="s">
        <v>15</v>
      </c>
      <c r="C3" s="2" t="s">
        <v>16</v>
      </c>
      <c r="D3" s="3">
        <v>112374333</v>
      </c>
      <c r="E3" s="2">
        <v>9.2799999999999994</v>
      </c>
      <c r="F3" s="3">
        <v>58243056</v>
      </c>
      <c r="G3" s="3">
        <v>54131277</v>
      </c>
      <c r="H3" s="2">
        <v>929</v>
      </c>
      <c r="I3" s="2">
        <v>82.34</v>
      </c>
      <c r="J3" s="3">
        <v>61545441</v>
      </c>
      <c r="K3" s="3">
        <v>50827531</v>
      </c>
      <c r="L3" s="3">
        <v>307713</v>
      </c>
      <c r="M3" s="2">
        <v>365</v>
      </c>
      <c r="N3" s="4">
        <v>0.16</v>
      </c>
    </row>
    <row r="4" spans="1:14" x14ac:dyDescent="0.3">
      <c r="A4" s="2">
        <v>3</v>
      </c>
      <c r="B4" s="2" t="s">
        <v>17</v>
      </c>
      <c r="C4" s="2" t="s">
        <v>18</v>
      </c>
      <c r="D4" s="3">
        <v>104099452</v>
      </c>
      <c r="E4" s="2">
        <v>8.6</v>
      </c>
      <c r="F4" s="3">
        <v>54278157</v>
      </c>
      <c r="G4" s="3">
        <v>49821295</v>
      </c>
      <c r="H4" s="2">
        <v>918</v>
      </c>
      <c r="I4" s="2">
        <v>61.8</v>
      </c>
      <c r="J4" s="3">
        <v>92075028</v>
      </c>
      <c r="K4" s="3">
        <v>11729609</v>
      </c>
      <c r="L4" s="3">
        <v>94163</v>
      </c>
      <c r="M4" s="3">
        <v>1102</v>
      </c>
      <c r="N4" s="4">
        <v>0.251</v>
      </c>
    </row>
    <row r="5" spans="1:14" x14ac:dyDescent="0.3">
      <c r="A5" s="2">
        <v>4</v>
      </c>
      <c r="B5" s="2" t="s">
        <v>19</v>
      </c>
      <c r="C5" s="2" t="s">
        <v>20</v>
      </c>
      <c r="D5" s="3">
        <v>91276115</v>
      </c>
      <c r="E5" s="2">
        <v>7.54</v>
      </c>
      <c r="F5" s="3">
        <v>46809027</v>
      </c>
      <c r="G5" s="3">
        <v>44467088</v>
      </c>
      <c r="H5" s="2">
        <v>950</v>
      </c>
      <c r="I5" s="2">
        <v>76.260000000000005</v>
      </c>
      <c r="J5" s="3">
        <v>62213676</v>
      </c>
      <c r="K5" s="3">
        <v>29134060</v>
      </c>
      <c r="L5" s="3">
        <v>88752</v>
      </c>
      <c r="M5" s="3">
        <v>1030</v>
      </c>
      <c r="N5" s="4">
        <v>0.13900000000000001</v>
      </c>
    </row>
    <row r="6" spans="1:14" x14ac:dyDescent="0.3">
      <c r="A6" s="2">
        <v>5</v>
      </c>
      <c r="B6" s="2" t="s">
        <v>21</v>
      </c>
      <c r="C6" s="2" t="s">
        <v>22</v>
      </c>
      <c r="D6" s="3">
        <v>84580777</v>
      </c>
      <c r="E6" s="2">
        <v>6.99</v>
      </c>
      <c r="F6" s="3">
        <v>42442146</v>
      </c>
      <c r="G6" s="3">
        <v>42138631</v>
      </c>
      <c r="H6" s="2">
        <v>993</v>
      </c>
      <c r="I6" s="2">
        <v>67.02</v>
      </c>
      <c r="J6" s="3">
        <v>56361702</v>
      </c>
      <c r="K6" s="3">
        <v>28219075</v>
      </c>
      <c r="L6" s="3">
        <v>275045</v>
      </c>
      <c r="M6" s="2">
        <v>308</v>
      </c>
      <c r="N6" s="4">
        <v>0.10979999999999999</v>
      </c>
    </row>
    <row r="7" spans="1:14" x14ac:dyDescent="0.3">
      <c r="A7" s="2">
        <v>6</v>
      </c>
      <c r="B7" s="2" t="s">
        <v>23</v>
      </c>
      <c r="C7" s="2" t="s">
        <v>24</v>
      </c>
      <c r="D7" s="3">
        <v>72626809</v>
      </c>
      <c r="E7" s="2">
        <v>6</v>
      </c>
      <c r="F7" s="3">
        <v>37612306</v>
      </c>
      <c r="G7" s="3">
        <v>35014503</v>
      </c>
      <c r="H7" s="2">
        <v>931</v>
      </c>
      <c r="I7" s="2">
        <v>69.319999999999993</v>
      </c>
      <c r="J7" s="3">
        <v>52537899</v>
      </c>
      <c r="K7" s="3">
        <v>20059666</v>
      </c>
      <c r="L7" s="3">
        <v>308245</v>
      </c>
      <c r="M7" s="2">
        <v>236</v>
      </c>
      <c r="N7" s="4">
        <v>0.20300000000000001</v>
      </c>
    </row>
    <row r="8" spans="1:14" x14ac:dyDescent="0.3">
      <c r="A8" s="2">
        <v>7</v>
      </c>
      <c r="B8" s="2" t="s">
        <v>25</v>
      </c>
      <c r="C8" s="2" t="s">
        <v>26</v>
      </c>
      <c r="D8" s="3">
        <v>72147030</v>
      </c>
      <c r="E8" s="2">
        <v>5.96</v>
      </c>
      <c r="F8" s="3">
        <v>36137975</v>
      </c>
      <c r="G8" s="3">
        <v>36009055</v>
      </c>
      <c r="H8" s="2">
        <v>996</v>
      </c>
      <c r="I8" s="2">
        <v>80.09</v>
      </c>
      <c r="J8" s="3">
        <v>37189229</v>
      </c>
      <c r="K8" s="3">
        <v>34949729</v>
      </c>
      <c r="L8" s="3">
        <v>130058</v>
      </c>
      <c r="M8" s="2">
        <v>555</v>
      </c>
      <c r="N8" s="4">
        <v>0.156</v>
      </c>
    </row>
    <row r="9" spans="1:14" x14ac:dyDescent="0.3">
      <c r="A9" s="2">
        <v>8</v>
      </c>
      <c r="B9" s="2" t="s">
        <v>27</v>
      </c>
      <c r="C9" s="2" t="s">
        <v>28</v>
      </c>
      <c r="D9" s="3">
        <v>68548437</v>
      </c>
      <c r="E9" s="2">
        <v>5.66</v>
      </c>
      <c r="F9" s="3">
        <v>35550997</v>
      </c>
      <c r="G9" s="3">
        <v>32997440</v>
      </c>
      <c r="H9" s="2">
        <v>928</v>
      </c>
      <c r="I9" s="2">
        <v>66.11</v>
      </c>
      <c r="J9" s="3">
        <v>51540236</v>
      </c>
      <c r="K9" s="3">
        <v>17080776</v>
      </c>
      <c r="L9" s="3">
        <v>342239</v>
      </c>
      <c r="M9" s="2">
        <v>201</v>
      </c>
      <c r="N9" s="4">
        <v>0.214</v>
      </c>
    </row>
    <row r="10" spans="1:14" x14ac:dyDescent="0.3">
      <c r="A10" s="2">
        <v>9</v>
      </c>
      <c r="B10" s="2" t="s">
        <v>29</v>
      </c>
      <c r="C10" s="2" t="s">
        <v>30</v>
      </c>
      <c r="D10" s="3">
        <v>61095297</v>
      </c>
      <c r="E10" s="2">
        <v>5.05</v>
      </c>
      <c r="F10" s="3">
        <v>30966657</v>
      </c>
      <c r="G10" s="3">
        <v>30128640</v>
      </c>
      <c r="H10" s="2">
        <v>973</v>
      </c>
      <c r="I10" s="2">
        <v>75.36</v>
      </c>
      <c r="J10" s="3">
        <v>37552529</v>
      </c>
      <c r="K10" s="3">
        <v>23578175</v>
      </c>
      <c r="L10" s="3">
        <v>191791</v>
      </c>
      <c r="M10" s="2">
        <v>319</v>
      </c>
      <c r="N10" s="4">
        <v>0.157</v>
      </c>
    </row>
    <row r="11" spans="1:14" x14ac:dyDescent="0.3">
      <c r="A11" s="2">
        <v>10</v>
      </c>
      <c r="B11" s="2" t="s">
        <v>31</v>
      </c>
      <c r="C11" s="2" t="s">
        <v>32</v>
      </c>
      <c r="D11" s="3">
        <v>60439692</v>
      </c>
      <c r="E11" s="2">
        <v>4.99</v>
      </c>
      <c r="F11" s="3">
        <v>31491260</v>
      </c>
      <c r="G11" s="3">
        <v>28948432</v>
      </c>
      <c r="H11" s="2">
        <v>919</v>
      </c>
      <c r="I11" s="2">
        <v>78.03</v>
      </c>
      <c r="J11" s="3">
        <v>34670817</v>
      </c>
      <c r="K11" s="3">
        <v>25712811</v>
      </c>
      <c r="L11" s="3">
        <v>196024</v>
      </c>
      <c r="M11" s="2">
        <v>308</v>
      </c>
      <c r="N11" s="4">
        <v>0.192</v>
      </c>
    </row>
    <row r="12" spans="1:14" x14ac:dyDescent="0.3">
      <c r="A12" s="2">
        <v>11</v>
      </c>
      <c r="B12" s="2" t="s">
        <v>33</v>
      </c>
      <c r="C12" s="2" t="s">
        <v>34</v>
      </c>
      <c r="D12" s="3">
        <v>41974218</v>
      </c>
      <c r="E12" s="2">
        <v>3.47</v>
      </c>
      <c r="F12" s="3">
        <v>21212136</v>
      </c>
      <c r="G12" s="3">
        <v>20762082</v>
      </c>
      <c r="H12" s="2">
        <v>979</v>
      </c>
      <c r="I12" s="2">
        <v>72.87</v>
      </c>
      <c r="J12" s="3">
        <v>34951234</v>
      </c>
      <c r="K12" s="3">
        <v>6996124</v>
      </c>
      <c r="L12" s="3">
        <v>155707</v>
      </c>
      <c r="M12" s="2">
        <v>269</v>
      </c>
      <c r="N12" s="4">
        <v>0.14000000000000001</v>
      </c>
    </row>
    <row r="13" spans="1:14" x14ac:dyDescent="0.3">
      <c r="A13" s="2">
        <v>12</v>
      </c>
      <c r="B13" s="2" t="s">
        <v>35</v>
      </c>
      <c r="C13" s="2" t="s">
        <v>36</v>
      </c>
      <c r="D13" s="3">
        <v>33406061</v>
      </c>
      <c r="E13" s="2">
        <v>2.76</v>
      </c>
      <c r="F13" s="3">
        <v>16027412</v>
      </c>
      <c r="G13" s="3">
        <v>17378649</v>
      </c>
      <c r="H13" s="3">
        <v>1084</v>
      </c>
      <c r="I13" s="2">
        <v>94</v>
      </c>
      <c r="J13" s="3">
        <v>17445506</v>
      </c>
      <c r="K13" s="3">
        <v>15932171</v>
      </c>
      <c r="L13" s="3">
        <v>38863</v>
      </c>
      <c r="M13" s="2">
        <v>859</v>
      </c>
      <c r="N13" s="4">
        <v>4.9000000000000002E-2</v>
      </c>
    </row>
    <row r="14" spans="1:14" x14ac:dyDescent="0.3">
      <c r="A14" s="2">
        <v>13</v>
      </c>
      <c r="B14" s="2" t="s">
        <v>37</v>
      </c>
      <c r="C14" s="2" t="s">
        <v>38</v>
      </c>
      <c r="D14" s="3">
        <v>32988134</v>
      </c>
      <c r="E14" s="2">
        <v>2.72</v>
      </c>
      <c r="F14" s="3">
        <v>16930315</v>
      </c>
      <c r="G14" s="3">
        <v>16057819</v>
      </c>
      <c r="H14" s="2">
        <v>948</v>
      </c>
      <c r="I14" s="2">
        <v>66.41</v>
      </c>
      <c r="J14" s="3">
        <v>25036946</v>
      </c>
      <c r="K14" s="3">
        <v>7929292</v>
      </c>
      <c r="L14" s="3">
        <v>79714</v>
      </c>
      <c r="M14" s="2">
        <v>414</v>
      </c>
      <c r="N14" s="4">
        <v>0.223</v>
      </c>
    </row>
    <row r="15" spans="1:14" x14ac:dyDescent="0.3">
      <c r="A15" s="2">
        <v>14</v>
      </c>
      <c r="B15" s="2" t="s">
        <v>39</v>
      </c>
      <c r="C15" s="2" t="s">
        <v>40</v>
      </c>
      <c r="D15" s="3">
        <v>31205576</v>
      </c>
      <c r="E15" s="2">
        <v>2.58</v>
      </c>
      <c r="F15" s="3">
        <v>15939443</v>
      </c>
      <c r="G15" s="3">
        <v>15266133</v>
      </c>
      <c r="H15" s="2">
        <v>958</v>
      </c>
      <c r="I15" s="2">
        <v>72.19</v>
      </c>
      <c r="J15" s="3">
        <v>26780526</v>
      </c>
      <c r="K15" s="3">
        <v>4388756</v>
      </c>
      <c r="L15" s="3">
        <v>78438</v>
      </c>
      <c r="M15" s="2">
        <v>397</v>
      </c>
      <c r="N15" s="4">
        <v>0.16900000000000001</v>
      </c>
    </row>
    <row r="16" spans="1:14" x14ac:dyDescent="0.3">
      <c r="A16" s="2">
        <v>15</v>
      </c>
      <c r="B16" s="2" t="s">
        <v>41</v>
      </c>
      <c r="C16" s="2" t="s">
        <v>42</v>
      </c>
      <c r="D16" s="3">
        <v>27743338</v>
      </c>
      <c r="E16" s="2">
        <v>2.29</v>
      </c>
      <c r="F16" s="3">
        <v>14639465</v>
      </c>
      <c r="G16" s="3">
        <v>13103873</v>
      </c>
      <c r="H16" s="2">
        <v>895</v>
      </c>
      <c r="I16" s="2">
        <v>75.84</v>
      </c>
      <c r="J16" s="3">
        <v>17316800</v>
      </c>
      <c r="K16" s="3">
        <v>10387436</v>
      </c>
      <c r="L16" s="3">
        <v>50362</v>
      </c>
      <c r="M16" s="2">
        <v>550</v>
      </c>
      <c r="N16" s="4">
        <v>0.13700000000000001</v>
      </c>
    </row>
    <row r="17" spans="1:14" x14ac:dyDescent="0.3">
      <c r="A17" s="2">
        <v>16</v>
      </c>
      <c r="B17" s="2" t="s">
        <v>43</v>
      </c>
      <c r="C17" s="2" t="s">
        <v>44</v>
      </c>
      <c r="D17" s="3">
        <v>25545198</v>
      </c>
      <c r="E17" s="2">
        <v>2.11</v>
      </c>
      <c r="F17" s="3">
        <v>12832895</v>
      </c>
      <c r="G17" s="3">
        <v>12712303</v>
      </c>
      <c r="H17" s="2">
        <v>991</v>
      </c>
      <c r="I17" s="2">
        <v>70.28</v>
      </c>
      <c r="J17" s="3">
        <v>19603658</v>
      </c>
      <c r="K17" s="3">
        <v>5936538</v>
      </c>
      <c r="L17" s="3">
        <v>135191</v>
      </c>
      <c r="M17" s="2">
        <v>189</v>
      </c>
      <c r="N17" s="4">
        <v>0.22600000000000001</v>
      </c>
    </row>
    <row r="18" spans="1:14" x14ac:dyDescent="0.3">
      <c r="A18" s="2">
        <v>17</v>
      </c>
      <c r="B18" s="2" t="s">
        <v>45</v>
      </c>
      <c r="C18" s="2" t="s">
        <v>42</v>
      </c>
      <c r="D18" s="3">
        <v>25351462</v>
      </c>
      <c r="E18" s="2">
        <v>2.09</v>
      </c>
      <c r="F18" s="3">
        <v>13494734</v>
      </c>
      <c r="G18" s="3">
        <v>11856728</v>
      </c>
      <c r="H18" s="2">
        <v>879</v>
      </c>
      <c r="I18" s="2">
        <v>75.55</v>
      </c>
      <c r="J18" s="3">
        <v>16531493</v>
      </c>
      <c r="K18" s="3">
        <v>8821588</v>
      </c>
      <c r="L18" s="3">
        <v>44212</v>
      </c>
      <c r="M18" s="2">
        <v>573</v>
      </c>
      <c r="N18" s="4">
        <v>0.19900000000000001</v>
      </c>
    </row>
    <row r="19" spans="1:14" x14ac:dyDescent="0.3">
      <c r="A19" s="2">
        <v>18</v>
      </c>
      <c r="B19" s="2" t="s">
        <v>46</v>
      </c>
      <c r="C19" s="2" t="s">
        <v>46</v>
      </c>
      <c r="D19" s="3">
        <v>16787941</v>
      </c>
      <c r="E19" s="2">
        <v>1.39</v>
      </c>
      <c r="F19" s="3">
        <v>8887326</v>
      </c>
      <c r="G19" s="3">
        <v>7800615</v>
      </c>
      <c r="H19" s="2">
        <v>868</v>
      </c>
      <c r="I19" s="2">
        <v>86.21</v>
      </c>
      <c r="J19" s="3">
        <v>944727</v>
      </c>
      <c r="K19" s="3">
        <v>12905780</v>
      </c>
      <c r="L19" s="3">
        <v>1484</v>
      </c>
      <c r="M19" s="3">
        <v>11297</v>
      </c>
      <c r="N19" s="5">
        <v>0.21</v>
      </c>
    </row>
    <row r="20" spans="1:14" x14ac:dyDescent="0.3">
      <c r="A20" s="2">
        <v>19</v>
      </c>
      <c r="B20" s="2" t="s">
        <v>47</v>
      </c>
      <c r="C20" s="2" t="s">
        <v>47</v>
      </c>
      <c r="D20" s="3">
        <v>12541302</v>
      </c>
      <c r="E20" s="2">
        <v>1.04</v>
      </c>
      <c r="F20" s="3">
        <v>6640662</v>
      </c>
      <c r="G20" s="3">
        <v>5900640</v>
      </c>
      <c r="H20" s="2">
        <v>889</v>
      </c>
      <c r="I20" s="2">
        <v>67.16</v>
      </c>
      <c r="J20" s="3">
        <v>9134820</v>
      </c>
      <c r="K20" s="3">
        <v>3414106</v>
      </c>
      <c r="L20" s="3">
        <v>222236</v>
      </c>
      <c r="M20" s="2">
        <v>56</v>
      </c>
      <c r="N20" s="4">
        <v>0.23699999999999999</v>
      </c>
    </row>
    <row r="21" spans="1:14" x14ac:dyDescent="0.3">
      <c r="A21" s="2">
        <v>20</v>
      </c>
      <c r="B21" s="2" t="s">
        <v>48</v>
      </c>
      <c r="C21" s="2" t="s">
        <v>49</v>
      </c>
      <c r="D21" s="3">
        <v>10086292</v>
      </c>
      <c r="E21" s="2">
        <v>0.83</v>
      </c>
      <c r="F21" s="3">
        <v>5137773</v>
      </c>
      <c r="G21" s="3">
        <v>4948519</v>
      </c>
      <c r="H21" s="2">
        <v>963</v>
      </c>
      <c r="I21" s="2">
        <v>79.63</v>
      </c>
      <c r="J21" s="3">
        <v>7025583</v>
      </c>
      <c r="K21" s="3">
        <v>3091169</v>
      </c>
      <c r="L21" s="3">
        <v>53483</v>
      </c>
      <c r="M21" s="2">
        <v>189</v>
      </c>
      <c r="N21" s="4">
        <v>0.192</v>
      </c>
    </row>
    <row r="22" spans="1:14" x14ac:dyDescent="0.3">
      <c r="A22" s="2">
        <v>21</v>
      </c>
      <c r="B22" s="2" t="s">
        <v>50</v>
      </c>
      <c r="C22" s="2" t="s">
        <v>51</v>
      </c>
      <c r="D22" s="3">
        <v>6864602</v>
      </c>
      <c r="E22" s="2">
        <v>0.56999999999999995</v>
      </c>
      <c r="F22" s="3">
        <v>3481873</v>
      </c>
      <c r="G22" s="3">
        <v>3382729</v>
      </c>
      <c r="H22" s="2">
        <v>972</v>
      </c>
      <c r="I22" s="2">
        <v>82.8</v>
      </c>
      <c r="J22" s="3">
        <v>6167805</v>
      </c>
      <c r="K22" s="3">
        <v>688704</v>
      </c>
      <c r="L22" s="3">
        <v>55673</v>
      </c>
      <c r="M22" s="2">
        <v>123</v>
      </c>
      <c r="N22" s="4">
        <v>0.128</v>
      </c>
    </row>
    <row r="23" spans="1:14" x14ac:dyDescent="0.3">
      <c r="A23" s="2">
        <v>22</v>
      </c>
      <c r="B23" s="2" t="s">
        <v>52</v>
      </c>
      <c r="C23" s="2" t="s">
        <v>53</v>
      </c>
      <c r="D23" s="3">
        <v>3673917</v>
      </c>
      <c r="E23" s="2">
        <v>0.3</v>
      </c>
      <c r="F23" s="3">
        <v>1874376</v>
      </c>
      <c r="G23" s="3">
        <v>1799541</v>
      </c>
      <c r="H23" s="2">
        <v>960</v>
      </c>
      <c r="I23" s="2">
        <v>87.22</v>
      </c>
      <c r="J23" s="3">
        <v>2710051</v>
      </c>
      <c r="K23" s="3">
        <v>960981</v>
      </c>
      <c r="L23" s="3">
        <v>10486</v>
      </c>
      <c r="M23" s="2">
        <v>350</v>
      </c>
      <c r="N23" s="4">
        <v>0.14699999999999999</v>
      </c>
    </row>
    <row r="24" spans="1:14" x14ac:dyDescent="0.3">
      <c r="A24" s="2">
        <v>23</v>
      </c>
      <c r="B24" s="2" t="s">
        <v>54</v>
      </c>
      <c r="C24" s="2" t="s">
        <v>55</v>
      </c>
      <c r="D24" s="3">
        <v>2966889</v>
      </c>
      <c r="E24" s="2">
        <v>0.25</v>
      </c>
      <c r="F24" s="3">
        <v>1491832</v>
      </c>
      <c r="G24" s="3">
        <v>1475057</v>
      </c>
      <c r="H24" s="2">
        <v>989</v>
      </c>
      <c r="I24" s="2">
        <v>74.430000000000007</v>
      </c>
      <c r="J24" s="3">
        <v>2368971</v>
      </c>
      <c r="K24" s="3">
        <v>595036</v>
      </c>
      <c r="L24" s="3">
        <v>22429</v>
      </c>
      <c r="M24" s="2">
        <v>132</v>
      </c>
      <c r="N24" s="4">
        <v>0.27800000000000002</v>
      </c>
    </row>
    <row r="25" spans="1:14" x14ac:dyDescent="0.3">
      <c r="A25" s="2">
        <v>24</v>
      </c>
      <c r="B25" s="2" t="s">
        <v>56</v>
      </c>
      <c r="C25" s="2" t="s">
        <v>57</v>
      </c>
      <c r="D25" s="3">
        <v>2721756</v>
      </c>
      <c r="E25" s="2">
        <v>0.21</v>
      </c>
      <c r="F25" s="3">
        <v>1290171</v>
      </c>
      <c r="G25" s="3">
        <v>1280219</v>
      </c>
      <c r="H25" s="2">
        <v>992</v>
      </c>
      <c r="I25" s="2">
        <v>79.209999999999994</v>
      </c>
      <c r="J25" s="3">
        <v>1899624</v>
      </c>
      <c r="K25" s="3">
        <v>822132</v>
      </c>
      <c r="L25" s="3">
        <v>22327</v>
      </c>
      <c r="M25" s="2">
        <v>122</v>
      </c>
      <c r="N25" s="4">
        <v>0.187</v>
      </c>
    </row>
    <row r="26" spans="1:14" x14ac:dyDescent="0.3">
      <c r="A26" s="2">
        <v>25</v>
      </c>
      <c r="B26" s="2" t="s">
        <v>58</v>
      </c>
      <c r="C26" s="2" t="s">
        <v>59</v>
      </c>
      <c r="D26" s="3">
        <v>1978502</v>
      </c>
      <c r="E26" s="2">
        <v>0.16</v>
      </c>
      <c r="F26" s="3">
        <v>1024649</v>
      </c>
      <c r="G26" s="3">
        <v>953853</v>
      </c>
      <c r="H26" s="2">
        <v>931</v>
      </c>
      <c r="I26" s="2">
        <v>79.55</v>
      </c>
      <c r="J26" s="3">
        <v>1406861</v>
      </c>
      <c r="K26" s="3">
        <v>573741</v>
      </c>
      <c r="L26" s="3">
        <v>16579</v>
      </c>
      <c r="M26" s="2">
        <v>119</v>
      </c>
      <c r="N26" s="4">
        <v>5.0000000000000001E-3</v>
      </c>
    </row>
    <row r="27" spans="1:14" x14ac:dyDescent="0.3">
      <c r="A27" s="2">
        <v>26</v>
      </c>
      <c r="B27" s="2" t="s">
        <v>60</v>
      </c>
      <c r="C27" s="2" t="s">
        <v>61</v>
      </c>
      <c r="D27" s="3">
        <v>1458545</v>
      </c>
      <c r="E27" s="2">
        <v>0.12</v>
      </c>
      <c r="F27" s="3">
        <v>739140</v>
      </c>
      <c r="G27" s="3">
        <v>719405</v>
      </c>
      <c r="H27" s="2">
        <v>973</v>
      </c>
      <c r="I27" s="2">
        <v>88.7</v>
      </c>
      <c r="J27" s="3">
        <v>551414</v>
      </c>
      <c r="K27" s="3">
        <v>906309</v>
      </c>
      <c r="L27" s="3">
        <v>3702</v>
      </c>
      <c r="M27" s="2">
        <v>394</v>
      </c>
      <c r="N27" s="4">
        <v>8.2000000000000003E-2</v>
      </c>
    </row>
    <row r="28" spans="1:14" x14ac:dyDescent="0.3">
      <c r="A28" s="2">
        <v>27</v>
      </c>
      <c r="B28" s="2" t="s">
        <v>62</v>
      </c>
      <c r="C28" s="2" t="s">
        <v>63</v>
      </c>
      <c r="D28" s="3">
        <v>1383727</v>
      </c>
      <c r="E28" s="2">
        <v>0.11</v>
      </c>
      <c r="F28" s="3">
        <v>713912</v>
      </c>
      <c r="G28" s="3">
        <v>669815</v>
      </c>
      <c r="H28" s="2">
        <v>938</v>
      </c>
      <c r="I28" s="2">
        <v>65.38</v>
      </c>
      <c r="J28" s="3">
        <v>1069165</v>
      </c>
      <c r="K28" s="3">
        <v>313446</v>
      </c>
      <c r="L28" s="3">
        <v>83743</v>
      </c>
      <c r="M28" s="2">
        <v>17</v>
      </c>
      <c r="N28" s="4">
        <v>0.25900000000000001</v>
      </c>
    </row>
    <row r="29" spans="1:14" x14ac:dyDescent="0.3">
      <c r="A29" s="2">
        <v>28</v>
      </c>
      <c r="B29" s="2" t="s">
        <v>64</v>
      </c>
      <c r="C29" s="2" t="s">
        <v>65</v>
      </c>
      <c r="D29" s="3">
        <v>1247953</v>
      </c>
      <c r="E29" s="2">
        <v>0.1</v>
      </c>
      <c r="F29" s="3">
        <v>612511</v>
      </c>
      <c r="G29" s="3">
        <v>635442</v>
      </c>
      <c r="H29" s="3">
        <v>1037</v>
      </c>
      <c r="I29" s="2">
        <v>85.85</v>
      </c>
      <c r="J29" s="3">
        <v>394341</v>
      </c>
      <c r="K29" s="3">
        <v>850123</v>
      </c>
      <c r="L29" s="2">
        <v>479</v>
      </c>
      <c r="M29" s="3">
        <v>2598</v>
      </c>
      <c r="N29" s="4">
        <v>0.27700000000000002</v>
      </c>
    </row>
    <row r="30" spans="1:14" x14ac:dyDescent="0.3">
      <c r="A30" s="2">
        <v>29</v>
      </c>
      <c r="B30" s="2" t="s">
        <v>66</v>
      </c>
      <c r="C30" s="2" t="s">
        <v>67</v>
      </c>
      <c r="D30" s="3">
        <v>1097206</v>
      </c>
      <c r="E30" s="2">
        <v>0.09</v>
      </c>
      <c r="F30" s="3">
        <v>555339</v>
      </c>
      <c r="G30" s="3">
        <v>541867</v>
      </c>
      <c r="H30" s="2">
        <v>976</v>
      </c>
      <c r="I30" s="2">
        <v>91.33</v>
      </c>
      <c r="J30" s="3">
        <v>529037</v>
      </c>
      <c r="K30" s="3">
        <v>561997</v>
      </c>
      <c r="L30" s="3">
        <v>21081</v>
      </c>
      <c r="M30" s="2">
        <v>52</v>
      </c>
      <c r="N30" s="4">
        <v>0.22800000000000001</v>
      </c>
    </row>
    <row r="31" spans="1:14" x14ac:dyDescent="0.3">
      <c r="A31" s="2">
        <v>30</v>
      </c>
      <c r="B31" s="2" t="s">
        <v>42</v>
      </c>
      <c r="C31" s="2" t="s">
        <v>42</v>
      </c>
      <c r="D31" s="3">
        <v>1055450</v>
      </c>
      <c r="E31" s="2">
        <v>0.09</v>
      </c>
      <c r="F31" s="3">
        <v>580663</v>
      </c>
      <c r="G31" s="3">
        <v>474787</v>
      </c>
      <c r="H31" s="2">
        <v>818</v>
      </c>
      <c r="I31" s="2">
        <v>86.05</v>
      </c>
      <c r="J31" s="3">
        <v>29004</v>
      </c>
      <c r="K31" s="3">
        <v>1025682</v>
      </c>
      <c r="L31" s="2">
        <v>114</v>
      </c>
      <c r="M31" s="3">
        <v>9252</v>
      </c>
      <c r="N31" s="4">
        <v>0.17100000000000001</v>
      </c>
    </row>
    <row r="32" spans="1:14" x14ac:dyDescent="0.3">
      <c r="A32" s="2">
        <v>31</v>
      </c>
      <c r="B32" s="2" t="s">
        <v>68</v>
      </c>
      <c r="C32" s="2" t="s">
        <v>69</v>
      </c>
      <c r="D32" s="3">
        <v>610577</v>
      </c>
      <c r="E32" s="2">
        <v>0.05</v>
      </c>
      <c r="F32" s="3">
        <v>323070</v>
      </c>
      <c r="G32" s="3">
        <v>287507</v>
      </c>
      <c r="H32" s="2">
        <v>890</v>
      </c>
      <c r="I32" s="2">
        <v>81.42</v>
      </c>
      <c r="J32" s="3">
        <v>455962</v>
      </c>
      <c r="K32" s="3">
        <v>151726</v>
      </c>
      <c r="L32" s="3">
        <v>7096</v>
      </c>
      <c r="M32" s="2">
        <v>86</v>
      </c>
      <c r="N32" s="4">
        <v>0.124</v>
      </c>
    </row>
    <row r="33" spans="1:14" x14ac:dyDescent="0.3">
      <c r="A33" s="2">
        <v>32</v>
      </c>
      <c r="B33" s="2" t="s">
        <v>70</v>
      </c>
      <c r="C33" s="2" t="s">
        <v>71</v>
      </c>
      <c r="D33" s="3">
        <v>380581</v>
      </c>
      <c r="E33" s="2">
        <v>0.03</v>
      </c>
      <c r="F33" s="3">
        <v>202871</v>
      </c>
      <c r="G33" s="3">
        <v>177710</v>
      </c>
      <c r="H33" s="2">
        <v>876</v>
      </c>
      <c r="I33" s="2">
        <v>86.63</v>
      </c>
      <c r="J33" s="3">
        <v>244411</v>
      </c>
      <c r="K33" s="3">
        <v>135533</v>
      </c>
      <c r="L33" s="3">
        <v>8249</v>
      </c>
      <c r="M33" s="2">
        <v>46</v>
      </c>
      <c r="N33" s="4">
        <v>6.7000000000000004E-2</v>
      </c>
    </row>
    <row r="34" spans="1:14" x14ac:dyDescent="0.3">
      <c r="A34" s="2">
        <v>33</v>
      </c>
      <c r="B34" s="2" t="s">
        <v>72</v>
      </c>
      <c r="C34" s="2" t="s">
        <v>73</v>
      </c>
      <c r="D34" s="3">
        <v>343709</v>
      </c>
      <c r="E34" s="2">
        <v>0.03</v>
      </c>
      <c r="F34" s="3">
        <v>193760</v>
      </c>
      <c r="G34" s="3">
        <v>149949</v>
      </c>
      <c r="H34" s="2">
        <v>774</v>
      </c>
      <c r="I34" s="2">
        <v>76.239999999999995</v>
      </c>
      <c r="J34" s="3">
        <v>183024</v>
      </c>
      <c r="K34" s="3">
        <v>159829</v>
      </c>
      <c r="L34" s="2">
        <v>491</v>
      </c>
      <c r="M34" s="2">
        <v>698</v>
      </c>
      <c r="N34" s="4">
        <v>0.55500000000000005</v>
      </c>
    </row>
    <row r="35" spans="1:14" x14ac:dyDescent="0.3">
      <c r="A35" s="2">
        <v>34</v>
      </c>
      <c r="B35" s="2" t="s">
        <v>74</v>
      </c>
      <c r="C35" s="2" t="s">
        <v>75</v>
      </c>
      <c r="D35" s="3">
        <v>243247</v>
      </c>
      <c r="E35" s="2">
        <v>0.02</v>
      </c>
      <c r="F35" s="3">
        <v>150301</v>
      </c>
      <c r="G35" s="3">
        <v>92946</v>
      </c>
      <c r="H35" s="2">
        <v>618</v>
      </c>
      <c r="I35" s="2">
        <v>87.1</v>
      </c>
      <c r="J35" s="3">
        <v>60331</v>
      </c>
      <c r="K35" s="3">
        <v>182580</v>
      </c>
      <c r="L35" s="2">
        <v>112</v>
      </c>
      <c r="M35" s="3">
        <v>2169</v>
      </c>
      <c r="N35" s="4">
        <v>0.53500000000000003</v>
      </c>
    </row>
    <row r="36" spans="1:14" x14ac:dyDescent="0.3">
      <c r="A36" s="2">
        <v>35</v>
      </c>
      <c r="B36" s="2" t="s">
        <v>76</v>
      </c>
      <c r="C36" s="2" t="s">
        <v>77</v>
      </c>
      <c r="D36" s="3">
        <v>64473</v>
      </c>
      <c r="E36" s="2">
        <v>0.01</v>
      </c>
      <c r="F36" s="3">
        <v>33123</v>
      </c>
      <c r="G36" s="3">
        <v>31350</v>
      </c>
      <c r="H36" s="2">
        <v>946</v>
      </c>
      <c r="I36" s="2">
        <v>91.85</v>
      </c>
      <c r="J36" s="3">
        <v>14121</v>
      </c>
      <c r="K36" s="3">
        <v>50308</v>
      </c>
      <c r="L36" s="2">
        <v>32</v>
      </c>
      <c r="M36" s="3">
        <v>2013</v>
      </c>
      <c r="N36" s="4">
        <v>6.2E-2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FBD6-011F-415B-9936-0AA40F6E0697}">
  <dimension ref="A2:X9"/>
  <sheetViews>
    <sheetView topLeftCell="D1" workbookViewId="0">
      <selection activeCell="O3" sqref="O3"/>
    </sheetView>
  </sheetViews>
  <sheetFormatPr defaultRowHeight="14.4" x14ac:dyDescent="0.3"/>
  <cols>
    <col min="12" max="12" width="16.33203125" bestFit="1" customWidth="1"/>
    <col min="13" max="13" width="8.44140625" bestFit="1" customWidth="1"/>
    <col min="14" max="14" width="10" bestFit="1" customWidth="1"/>
    <col min="15" max="15" width="17.77734375" bestFit="1" customWidth="1"/>
    <col min="16" max="16" width="10" bestFit="1" customWidth="1"/>
    <col min="17" max="17" width="9" bestFit="1" customWidth="1"/>
    <col min="18" max="18" width="11.44140625" bestFit="1" customWidth="1"/>
    <col min="19" max="19" width="14.44140625" bestFit="1" customWidth="1"/>
    <col min="20" max="20" width="14.21875" bestFit="1" customWidth="1"/>
    <col min="21" max="21" width="14.88671875" bestFit="1" customWidth="1"/>
    <col min="22" max="22" width="12.109375" bestFit="1" customWidth="1"/>
    <col min="23" max="23" width="16" bestFit="1" customWidth="1"/>
    <col min="24" max="24" width="17" bestFit="1" customWidth="1"/>
  </cols>
  <sheetData>
    <row r="2" spans="1:24" x14ac:dyDescent="0.3">
      <c r="A2" s="13" t="s">
        <v>79</v>
      </c>
      <c r="B2" s="13"/>
      <c r="C2" s="13"/>
      <c r="E2" s="13" t="s">
        <v>82</v>
      </c>
      <c r="F2" s="13"/>
      <c r="H2" s="13" t="s">
        <v>85</v>
      </c>
      <c r="I2" s="13"/>
      <c r="L2" s="7" t="s">
        <v>1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 t="s">
        <v>78</v>
      </c>
      <c r="S2" s="7" t="s">
        <v>7</v>
      </c>
      <c r="T2" s="7" t="s">
        <v>8</v>
      </c>
      <c r="U2" s="7" t="s">
        <v>9</v>
      </c>
      <c r="V2" s="7" t="s">
        <v>10</v>
      </c>
      <c r="W2" s="7" t="s">
        <v>11</v>
      </c>
      <c r="X2" s="7" t="s">
        <v>12</v>
      </c>
    </row>
    <row r="3" spans="1:24" x14ac:dyDescent="0.3">
      <c r="A3" s="12">
        <f>MAX(population!E2:E36)</f>
        <v>16.5</v>
      </c>
      <c r="B3" s="12"/>
      <c r="C3" s="12"/>
      <c r="E3" s="12">
        <f>MAX(population!H2:H36)</f>
        <v>1084</v>
      </c>
      <c r="F3" s="12"/>
      <c r="H3" s="12">
        <f>MAX(population!I2:I36)</f>
        <v>94</v>
      </c>
      <c r="I3" s="12"/>
      <c r="L3" s="6" t="s">
        <v>13</v>
      </c>
      <c r="M3" s="6" t="str" cm="1">
        <f t="array" ref="M3:X3">_xlfn.XLOOKUP(L3,population!B2:B36,population!C2:N36,"not found",0)</f>
        <v>Lucknow</v>
      </c>
      <c r="N3" s="6">
        <v>199812341</v>
      </c>
      <c r="O3" s="6">
        <v>16.5</v>
      </c>
      <c r="P3" s="6">
        <v>104480510</v>
      </c>
      <c r="Q3" s="6">
        <v>95331831</v>
      </c>
      <c r="R3" s="6">
        <v>912</v>
      </c>
      <c r="S3" s="6">
        <v>67.680000000000007</v>
      </c>
      <c r="T3" s="6">
        <v>155111022</v>
      </c>
      <c r="U3" s="6">
        <v>44470455</v>
      </c>
      <c r="V3" s="6">
        <v>240928</v>
      </c>
      <c r="W3" s="6">
        <v>828</v>
      </c>
      <c r="X3" s="6">
        <v>0.20100000000000001</v>
      </c>
    </row>
    <row r="4" spans="1:24" x14ac:dyDescent="0.3">
      <c r="L4" s="6" t="s">
        <v>27</v>
      </c>
      <c r="M4" s="6" t="str" cm="1">
        <f t="array" ref="M4:X4">_xlfn.XLOOKUP(L4,population!B3:B37,population!C3:N37,"not found",0)</f>
        <v>Jaipur</v>
      </c>
      <c r="N4" s="6">
        <v>68548437</v>
      </c>
      <c r="O4" s="6">
        <v>5.66</v>
      </c>
      <c r="P4" s="6">
        <v>35550997</v>
      </c>
      <c r="Q4" s="6">
        <v>32997440</v>
      </c>
      <c r="R4" s="6">
        <v>928</v>
      </c>
      <c r="S4" s="6">
        <v>66.11</v>
      </c>
      <c r="T4" s="6">
        <v>51540236</v>
      </c>
      <c r="U4" s="6">
        <v>17080776</v>
      </c>
      <c r="V4" s="6">
        <v>342239</v>
      </c>
      <c r="W4" s="6">
        <v>201</v>
      </c>
      <c r="X4" s="6">
        <v>0.214</v>
      </c>
    </row>
    <row r="5" spans="1:24" x14ac:dyDescent="0.3">
      <c r="A5" s="13" t="s">
        <v>80</v>
      </c>
      <c r="B5" s="13"/>
      <c r="C5" s="13"/>
      <c r="E5" s="13" t="s">
        <v>83</v>
      </c>
      <c r="F5" s="13"/>
      <c r="H5" s="13" t="s">
        <v>86</v>
      </c>
      <c r="I5" s="13"/>
      <c r="L5" s="6" t="s">
        <v>54</v>
      </c>
      <c r="M5" s="6" t="str" cm="1">
        <f t="array" ref="M5:X5">_xlfn.XLOOKUP(L5,population!B4:B38,population!C4:N38,"not found",0)</f>
        <v>Shillong</v>
      </c>
      <c r="N5" s="6">
        <v>2966889</v>
      </c>
      <c r="O5" s="6">
        <v>0.25</v>
      </c>
      <c r="P5" s="6">
        <v>1491832</v>
      </c>
      <c r="Q5" s="6">
        <v>1475057</v>
      </c>
      <c r="R5" s="6">
        <v>989</v>
      </c>
      <c r="S5" s="6">
        <v>74.430000000000007</v>
      </c>
      <c r="T5" s="6">
        <v>2368971</v>
      </c>
      <c r="U5" s="6">
        <v>595036</v>
      </c>
      <c r="V5" s="6">
        <v>22429</v>
      </c>
      <c r="W5" s="6">
        <v>132</v>
      </c>
      <c r="X5" s="6">
        <v>0.27800000000000002</v>
      </c>
    </row>
    <row r="6" spans="1:24" x14ac:dyDescent="0.3">
      <c r="A6" s="12">
        <f>MIN(population!E2:E36)</f>
        <v>0.01</v>
      </c>
      <c r="B6" s="12"/>
      <c r="C6" s="12"/>
      <c r="E6" s="12">
        <f>MIN(population!H2:H36)</f>
        <v>618</v>
      </c>
      <c r="F6" s="12"/>
      <c r="H6" s="12">
        <f>MIN(population!I2:I36)</f>
        <v>61.8</v>
      </c>
      <c r="I6" s="12"/>
      <c r="L6" s="6" t="s">
        <v>68</v>
      </c>
      <c r="M6" s="6" t="str" cm="1">
        <f t="array" ref="M6:X6">_xlfn.XLOOKUP(L6,population!B5:B39,population!C5:N39,"not found",0)</f>
        <v>Gangtok</v>
      </c>
      <c r="N6" s="6">
        <v>610577</v>
      </c>
      <c r="O6" s="6">
        <v>0.05</v>
      </c>
      <c r="P6" s="6">
        <v>323070</v>
      </c>
      <c r="Q6" s="6">
        <v>287507</v>
      </c>
      <c r="R6" s="6">
        <v>890</v>
      </c>
      <c r="S6" s="6">
        <v>81.42</v>
      </c>
      <c r="T6" s="6">
        <v>455962</v>
      </c>
      <c r="U6" s="6">
        <v>151726</v>
      </c>
      <c r="V6" s="6">
        <v>7096</v>
      </c>
      <c r="W6" s="6">
        <v>86</v>
      </c>
      <c r="X6" s="6">
        <v>0.124</v>
      </c>
    </row>
    <row r="7" spans="1:24" x14ac:dyDescent="0.3">
      <c r="L7" s="6" t="s">
        <v>76</v>
      </c>
      <c r="M7" s="6" t="str" cm="1">
        <f t="array" ref="M7:X7">_xlfn.XLOOKUP(L7,population!B6:B40,population!C6:N40,"not found",0)</f>
        <v>Kavaratti</v>
      </c>
      <c r="N7" s="6">
        <v>64473</v>
      </c>
      <c r="O7" s="6">
        <v>0.01</v>
      </c>
      <c r="P7" s="6">
        <v>33123</v>
      </c>
      <c r="Q7" s="6">
        <v>31350</v>
      </c>
      <c r="R7" s="6">
        <v>946</v>
      </c>
      <c r="S7" s="6">
        <v>91.85</v>
      </c>
      <c r="T7" s="6">
        <v>14121</v>
      </c>
      <c r="U7" s="6">
        <v>50308</v>
      </c>
      <c r="V7" s="6">
        <v>32</v>
      </c>
      <c r="W7" s="6">
        <v>2013</v>
      </c>
      <c r="X7" s="6">
        <v>6.2E-2</v>
      </c>
    </row>
    <row r="8" spans="1:24" x14ac:dyDescent="0.3">
      <c r="A8" s="13" t="s">
        <v>81</v>
      </c>
      <c r="B8" s="13"/>
      <c r="C8" s="13"/>
      <c r="E8" s="13" t="s">
        <v>84</v>
      </c>
      <c r="F8" s="13"/>
      <c r="H8" s="13" t="s">
        <v>87</v>
      </c>
      <c r="I8" s="13"/>
      <c r="L8" s="6" t="s">
        <v>62</v>
      </c>
      <c r="M8" s="6" t="str" cm="1">
        <f t="array" ref="M8:X8">_xlfn.XLOOKUP(L8,population!B7:B41,population!C7:N41,"not found",0)</f>
        <v>Itanagar</v>
      </c>
      <c r="N8" s="6">
        <v>1383727</v>
      </c>
      <c r="O8" s="6">
        <v>0.11</v>
      </c>
      <c r="P8" s="6">
        <v>713912</v>
      </c>
      <c r="Q8" s="6">
        <v>669815</v>
      </c>
      <c r="R8" s="6">
        <v>938</v>
      </c>
      <c r="S8" s="6">
        <v>65.38</v>
      </c>
      <c r="T8" s="6">
        <v>1069165</v>
      </c>
      <c r="U8" s="6">
        <v>313446</v>
      </c>
      <c r="V8" s="6">
        <v>83743</v>
      </c>
      <c r="W8" s="6">
        <v>17</v>
      </c>
      <c r="X8" s="6">
        <v>0.25900000000000001</v>
      </c>
    </row>
    <row r="9" spans="1:24" x14ac:dyDescent="0.3">
      <c r="A9" s="12">
        <f>AVERAGE(population!E2:E36)</f>
        <v>2.8568571428571428</v>
      </c>
      <c r="B9" s="12"/>
      <c r="C9" s="12"/>
      <c r="E9" s="12">
        <f>AVERAGE(population!H2:H36)</f>
        <v>931.2285714285714</v>
      </c>
      <c r="F9" s="12"/>
      <c r="H9" s="12">
        <f>AVERAGE(population!I11)</f>
        <v>78.03</v>
      </c>
      <c r="I9" s="12"/>
      <c r="L9" s="6" t="s">
        <v>66</v>
      </c>
      <c r="M9" s="6" t="str" cm="1">
        <f t="array" ref="M9:X9">_xlfn.XLOOKUP(L9,population!B8:'population'!B42,population!C8:N42,"not found",0)</f>
        <v>Aizawl</v>
      </c>
      <c r="N9" s="6">
        <v>1097206</v>
      </c>
      <c r="O9" s="6">
        <v>0.09</v>
      </c>
      <c r="P9" s="6">
        <v>555339</v>
      </c>
      <c r="Q9" s="6">
        <v>541867</v>
      </c>
      <c r="R9" s="6">
        <v>976</v>
      </c>
      <c r="S9" s="6">
        <v>91.33</v>
      </c>
      <c r="T9" s="6">
        <v>529037</v>
      </c>
      <c r="U9" s="6">
        <v>561997</v>
      </c>
      <c r="V9" s="6">
        <v>21081</v>
      </c>
      <c r="W9" s="6">
        <v>52</v>
      </c>
      <c r="X9" s="6">
        <v>0.22800000000000001</v>
      </c>
    </row>
  </sheetData>
  <mergeCells count="18">
    <mergeCell ref="A9:C9"/>
    <mergeCell ref="A2:C2"/>
    <mergeCell ref="A3:C3"/>
    <mergeCell ref="A5:C5"/>
    <mergeCell ref="A6:C6"/>
    <mergeCell ref="A8:C8"/>
    <mergeCell ref="H9:I9"/>
    <mergeCell ref="E2:F2"/>
    <mergeCell ref="E3:F3"/>
    <mergeCell ref="E5:F5"/>
    <mergeCell ref="E6:F6"/>
    <mergeCell ref="E8:F8"/>
    <mergeCell ref="E9:F9"/>
    <mergeCell ref="H2:I2"/>
    <mergeCell ref="H3:I3"/>
    <mergeCell ref="H5:I5"/>
    <mergeCell ref="H6:I6"/>
    <mergeCell ref="H8:I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210B-A9CA-4D54-9D0F-4913621E3B09}">
  <dimension ref="A2:Q76"/>
  <sheetViews>
    <sheetView topLeftCell="O1" zoomScaleNormal="100" workbookViewId="0">
      <selection activeCell="R16" sqref="R16"/>
    </sheetView>
  </sheetViews>
  <sheetFormatPr defaultRowHeight="14.4" x14ac:dyDescent="0.3"/>
  <cols>
    <col min="1" max="1" width="25.109375" bestFit="1" customWidth="1"/>
    <col min="2" max="2" width="20.88671875" bestFit="1" customWidth="1"/>
    <col min="5" max="5" width="25.109375" bestFit="1" customWidth="1"/>
    <col min="6" max="6" width="14.21875" bestFit="1" customWidth="1"/>
    <col min="7" max="7" width="26.109375" bestFit="1" customWidth="1"/>
    <col min="8" max="8" width="26.109375" customWidth="1"/>
    <col min="9" max="9" width="17.77734375" bestFit="1" customWidth="1"/>
    <col min="10" max="10" width="21.6640625" bestFit="1" customWidth="1"/>
    <col min="11" max="11" width="20.88671875" bestFit="1" customWidth="1"/>
    <col min="12" max="12" width="18.33203125" bestFit="1" customWidth="1"/>
    <col min="13" max="13" width="27.77734375" bestFit="1" customWidth="1"/>
    <col min="14" max="14" width="24.5546875" bestFit="1" customWidth="1"/>
    <col min="15" max="15" width="6.44140625" bestFit="1" customWidth="1"/>
    <col min="16" max="16" width="25.109375" bestFit="1" customWidth="1"/>
    <col min="17" max="17" width="20.88671875" bestFit="1" customWidth="1"/>
    <col min="18" max="50" width="26.109375" bestFit="1" customWidth="1"/>
    <col min="51" max="51" width="10.5546875" bestFit="1" customWidth="1"/>
  </cols>
  <sheetData>
    <row r="2" spans="1:17" x14ac:dyDescent="0.3">
      <c r="E2" s="8" t="s">
        <v>8</v>
      </c>
      <c r="F2" t="s">
        <v>91</v>
      </c>
    </row>
    <row r="3" spans="1:17" x14ac:dyDescent="0.3">
      <c r="A3" s="8" t="s">
        <v>7</v>
      </c>
      <c r="B3" t="s">
        <v>92</v>
      </c>
      <c r="E3" s="8" t="s">
        <v>9</v>
      </c>
      <c r="F3" t="s">
        <v>91</v>
      </c>
      <c r="I3" s="8" t="s">
        <v>4</v>
      </c>
      <c r="J3" t="s">
        <v>91</v>
      </c>
      <c r="M3" s="8" t="s">
        <v>10</v>
      </c>
      <c r="N3" t="s">
        <v>91</v>
      </c>
      <c r="P3" s="8" t="s">
        <v>6</v>
      </c>
      <c r="Q3" t="s">
        <v>91</v>
      </c>
    </row>
    <row r="5" spans="1:17" x14ac:dyDescent="0.3">
      <c r="A5" s="8" t="s">
        <v>88</v>
      </c>
      <c r="B5" t="s">
        <v>90</v>
      </c>
      <c r="E5" s="8" t="s">
        <v>88</v>
      </c>
      <c r="F5" t="s">
        <v>93</v>
      </c>
      <c r="G5" t="s">
        <v>96</v>
      </c>
      <c r="I5" s="8" t="s">
        <v>88</v>
      </c>
      <c r="J5" t="s">
        <v>95</v>
      </c>
      <c r="K5" t="s">
        <v>90</v>
      </c>
      <c r="M5" s="8" t="s">
        <v>88</v>
      </c>
      <c r="N5" t="s">
        <v>94</v>
      </c>
      <c r="P5" s="8" t="s">
        <v>88</v>
      </c>
      <c r="Q5" t="s">
        <v>90</v>
      </c>
    </row>
    <row r="6" spans="1:17" x14ac:dyDescent="0.3">
      <c r="A6" s="9" t="s">
        <v>70</v>
      </c>
      <c r="B6">
        <v>244411</v>
      </c>
      <c r="E6" s="9" t="s">
        <v>70</v>
      </c>
      <c r="F6" s="10">
        <v>177710</v>
      </c>
      <c r="G6" s="10">
        <v>202871</v>
      </c>
      <c r="H6" s="10"/>
      <c r="I6" s="9" t="s">
        <v>53</v>
      </c>
      <c r="J6" s="10">
        <v>960981</v>
      </c>
      <c r="K6" s="10">
        <v>2710051</v>
      </c>
      <c r="M6" s="9" t="s">
        <v>70</v>
      </c>
      <c r="N6">
        <v>0.03</v>
      </c>
      <c r="P6" s="9" t="s">
        <v>70</v>
      </c>
      <c r="Q6" s="10">
        <v>244411</v>
      </c>
    </row>
    <row r="7" spans="1:17" x14ac:dyDescent="0.3">
      <c r="A7" s="9" t="s">
        <v>72</v>
      </c>
      <c r="B7">
        <v>183024</v>
      </c>
      <c r="E7" s="9" t="s">
        <v>21</v>
      </c>
      <c r="F7" s="10">
        <v>42138631</v>
      </c>
      <c r="G7" s="10">
        <v>42442146</v>
      </c>
      <c r="H7" s="10"/>
      <c r="I7" s="9" t="s">
        <v>67</v>
      </c>
      <c r="J7" s="10">
        <v>561997</v>
      </c>
      <c r="K7" s="10">
        <v>529037</v>
      </c>
      <c r="M7" s="11" t="s">
        <v>71</v>
      </c>
      <c r="N7">
        <v>0.03</v>
      </c>
      <c r="P7" s="9" t="s">
        <v>21</v>
      </c>
      <c r="Q7" s="10">
        <v>56361702</v>
      </c>
    </row>
    <row r="8" spans="1:17" x14ac:dyDescent="0.3">
      <c r="A8" s="9" t="s">
        <v>35</v>
      </c>
      <c r="B8">
        <v>17445506</v>
      </c>
      <c r="E8" s="9" t="s">
        <v>62</v>
      </c>
      <c r="F8" s="10">
        <v>669815</v>
      </c>
      <c r="G8" s="10">
        <v>713912</v>
      </c>
      <c r="H8" s="10"/>
      <c r="I8" s="9" t="s">
        <v>30</v>
      </c>
      <c r="J8" s="10">
        <v>23578175</v>
      </c>
      <c r="K8" s="10">
        <v>37552529</v>
      </c>
      <c r="M8" s="9" t="s">
        <v>21</v>
      </c>
      <c r="N8">
        <v>6.99</v>
      </c>
      <c r="P8" s="9" t="s">
        <v>62</v>
      </c>
      <c r="Q8" s="10">
        <v>1069165</v>
      </c>
    </row>
    <row r="9" spans="1:17" x14ac:dyDescent="0.3">
      <c r="A9" s="9" t="s">
        <v>76</v>
      </c>
      <c r="B9">
        <v>14121</v>
      </c>
      <c r="E9" s="9" t="s">
        <v>39</v>
      </c>
      <c r="F9" s="10">
        <v>15266133</v>
      </c>
      <c r="G9" s="10">
        <v>15939443</v>
      </c>
      <c r="H9" s="10"/>
      <c r="I9" s="9" t="s">
        <v>24</v>
      </c>
      <c r="J9" s="10">
        <v>20059666</v>
      </c>
      <c r="K9" s="10">
        <v>52537899</v>
      </c>
      <c r="M9" s="11" t="s">
        <v>22</v>
      </c>
      <c r="N9">
        <v>6.99</v>
      </c>
      <c r="P9" s="9" t="s">
        <v>39</v>
      </c>
      <c r="Q9" s="10">
        <v>26780526</v>
      </c>
    </row>
    <row r="10" spans="1:17" x14ac:dyDescent="0.3">
      <c r="A10" s="9" t="s">
        <v>41</v>
      </c>
      <c r="B10">
        <v>17316800</v>
      </c>
      <c r="E10" s="9" t="s">
        <v>17</v>
      </c>
      <c r="F10" s="10">
        <v>49821295</v>
      </c>
      <c r="G10" s="10">
        <v>54278157</v>
      </c>
      <c r="H10" s="10"/>
      <c r="I10" s="9" t="s">
        <v>34</v>
      </c>
      <c r="J10" s="10">
        <v>6996124</v>
      </c>
      <c r="K10" s="10">
        <v>34951234</v>
      </c>
      <c r="M10" s="9" t="s">
        <v>62</v>
      </c>
      <c r="N10">
        <v>0.11</v>
      </c>
      <c r="P10" s="9" t="s">
        <v>17</v>
      </c>
      <c r="Q10" s="10">
        <v>92075028</v>
      </c>
    </row>
    <row r="11" spans="1:17" x14ac:dyDescent="0.3">
      <c r="A11" s="9" t="s">
        <v>48</v>
      </c>
      <c r="B11">
        <v>7025583</v>
      </c>
      <c r="E11" s="9" t="s">
        <v>42</v>
      </c>
      <c r="F11" s="10">
        <v>474787</v>
      </c>
      <c r="G11" s="10">
        <v>580663</v>
      </c>
      <c r="H11" s="10"/>
      <c r="I11" s="9" t="s">
        <v>42</v>
      </c>
      <c r="J11" s="10">
        <v>20234706</v>
      </c>
      <c r="K11" s="10">
        <v>33877297</v>
      </c>
      <c r="M11" s="11" t="s">
        <v>63</v>
      </c>
      <c r="N11">
        <v>0.11</v>
      </c>
      <c r="P11" s="9" t="s">
        <v>42</v>
      </c>
      <c r="Q11" s="10">
        <v>29004</v>
      </c>
    </row>
    <row r="12" spans="1:17" x14ac:dyDescent="0.3">
      <c r="A12" s="9" t="s">
        <v>89</v>
      </c>
      <c r="B12">
        <v>42229445</v>
      </c>
      <c r="E12" s="9" t="s">
        <v>43</v>
      </c>
      <c r="F12" s="10">
        <v>12712303</v>
      </c>
      <c r="G12" s="10">
        <v>12832895</v>
      </c>
      <c r="H12" s="10"/>
      <c r="I12" s="9" t="s">
        <v>26</v>
      </c>
      <c r="J12" s="10">
        <v>34949729</v>
      </c>
      <c r="K12" s="10">
        <v>37189229</v>
      </c>
      <c r="M12" s="9" t="s">
        <v>39</v>
      </c>
      <c r="N12">
        <v>2.58</v>
      </c>
      <c r="P12" s="9" t="s">
        <v>43</v>
      </c>
      <c r="Q12" s="10">
        <v>19603658</v>
      </c>
    </row>
    <row r="13" spans="1:17" x14ac:dyDescent="0.3">
      <c r="E13" s="9" t="s">
        <v>72</v>
      </c>
      <c r="F13" s="10">
        <v>149949</v>
      </c>
      <c r="G13" s="10">
        <v>193760</v>
      </c>
      <c r="H13" s="10"/>
      <c r="I13" s="9" t="s">
        <v>75</v>
      </c>
      <c r="J13" s="10">
        <v>182580</v>
      </c>
      <c r="K13" s="10">
        <v>60331</v>
      </c>
      <c r="M13" s="11" t="s">
        <v>40</v>
      </c>
      <c r="N13">
        <v>2.58</v>
      </c>
      <c r="P13" s="9" t="s">
        <v>72</v>
      </c>
      <c r="Q13" s="10">
        <v>183024</v>
      </c>
    </row>
    <row r="14" spans="1:17" x14ac:dyDescent="0.3">
      <c r="E14" s="9" t="s">
        <v>74</v>
      </c>
      <c r="F14" s="10">
        <v>92946</v>
      </c>
      <c r="G14" s="10">
        <v>150301</v>
      </c>
      <c r="H14" s="10"/>
      <c r="I14" s="9" t="s">
        <v>49</v>
      </c>
      <c r="J14" s="10">
        <v>3091169</v>
      </c>
      <c r="K14" s="10">
        <v>7025583</v>
      </c>
      <c r="M14" s="9" t="s">
        <v>17</v>
      </c>
      <c r="N14">
        <v>8.6</v>
      </c>
      <c r="P14" s="9" t="s">
        <v>74</v>
      </c>
      <c r="Q14" s="10">
        <v>60331</v>
      </c>
    </row>
    <row r="15" spans="1:17" x14ac:dyDescent="0.3">
      <c r="E15" s="9" t="s">
        <v>46</v>
      </c>
      <c r="F15" s="10">
        <v>7800615</v>
      </c>
      <c r="G15" s="10">
        <v>8887326</v>
      </c>
      <c r="H15" s="10"/>
      <c r="I15" s="9" t="s">
        <v>46</v>
      </c>
      <c r="J15" s="10">
        <v>12905780</v>
      </c>
      <c r="K15" s="10">
        <v>944727</v>
      </c>
      <c r="M15" s="11" t="s">
        <v>18</v>
      </c>
      <c r="N15">
        <v>8.6</v>
      </c>
      <c r="P15" s="9" t="s">
        <v>46</v>
      </c>
      <c r="Q15" s="10">
        <v>944727</v>
      </c>
    </row>
    <row r="16" spans="1:17" x14ac:dyDescent="0.3">
      <c r="E16" s="9" t="s">
        <v>60</v>
      </c>
      <c r="F16" s="10">
        <v>719405</v>
      </c>
      <c r="G16" s="10">
        <v>739140</v>
      </c>
      <c r="H16" s="10"/>
      <c r="I16" s="9" t="s">
        <v>40</v>
      </c>
      <c r="J16" s="10">
        <v>4388756</v>
      </c>
      <c r="K16" s="10">
        <v>26780526</v>
      </c>
      <c r="M16" s="9" t="s">
        <v>42</v>
      </c>
      <c r="N16">
        <v>0.09</v>
      </c>
      <c r="P16" s="9" t="s">
        <v>60</v>
      </c>
      <c r="Q16" s="10">
        <v>551414</v>
      </c>
    </row>
    <row r="17" spans="5:17" x14ac:dyDescent="0.3">
      <c r="E17" s="9" t="s">
        <v>31</v>
      </c>
      <c r="F17" s="10">
        <v>28948432</v>
      </c>
      <c r="G17" s="10">
        <v>31491260</v>
      </c>
      <c r="H17" s="10"/>
      <c r="I17" s="9" t="s">
        <v>32</v>
      </c>
      <c r="J17" s="10">
        <v>25712811</v>
      </c>
      <c r="K17" s="10">
        <v>34670817</v>
      </c>
      <c r="M17" s="11" t="s">
        <v>42</v>
      </c>
      <c r="N17">
        <v>0.09</v>
      </c>
      <c r="P17" s="9" t="s">
        <v>31</v>
      </c>
      <c r="Q17" s="10">
        <v>34670817</v>
      </c>
    </row>
    <row r="18" spans="5:17" x14ac:dyDescent="0.3">
      <c r="E18" s="9" t="s">
        <v>45</v>
      </c>
      <c r="F18" s="10">
        <v>11856728</v>
      </c>
      <c r="G18" s="10">
        <v>13494734</v>
      </c>
      <c r="H18" s="10"/>
      <c r="I18" s="9" t="s">
        <v>69</v>
      </c>
      <c r="J18" s="10">
        <v>151726</v>
      </c>
      <c r="K18" s="10">
        <v>455962</v>
      </c>
      <c r="M18" s="9" t="s">
        <v>43</v>
      </c>
      <c r="N18">
        <v>2.11</v>
      </c>
      <c r="P18" s="9" t="s">
        <v>45</v>
      </c>
      <c r="Q18" s="10">
        <v>16531493</v>
      </c>
    </row>
    <row r="19" spans="5:17" x14ac:dyDescent="0.3">
      <c r="E19" s="9" t="s">
        <v>50</v>
      </c>
      <c r="F19" s="10">
        <v>3382729</v>
      </c>
      <c r="G19" s="10">
        <v>3481873</v>
      </c>
      <c r="H19" s="10"/>
      <c r="I19" s="9" t="s">
        <v>22</v>
      </c>
      <c r="J19" s="10">
        <v>28219075</v>
      </c>
      <c r="K19" s="10">
        <v>56361702</v>
      </c>
      <c r="M19" s="11" t="s">
        <v>44</v>
      </c>
      <c r="N19">
        <v>2.11</v>
      </c>
      <c r="P19" s="9" t="s">
        <v>50</v>
      </c>
      <c r="Q19" s="10">
        <v>6167805</v>
      </c>
    </row>
    <row r="20" spans="5:17" x14ac:dyDescent="0.3">
      <c r="E20" s="9" t="s">
        <v>47</v>
      </c>
      <c r="F20" s="10">
        <v>5900640</v>
      </c>
      <c r="G20" s="10">
        <v>6640662</v>
      </c>
      <c r="H20" s="10"/>
      <c r="I20" s="9" t="s">
        <v>57</v>
      </c>
      <c r="J20" s="10">
        <v>822132</v>
      </c>
      <c r="K20" s="10">
        <v>1899624</v>
      </c>
      <c r="M20" s="9" t="s">
        <v>72</v>
      </c>
      <c r="N20">
        <v>0.03</v>
      </c>
      <c r="P20" s="9" t="s">
        <v>47</v>
      </c>
      <c r="Q20" s="10">
        <v>9134820</v>
      </c>
    </row>
    <row r="21" spans="5:17" x14ac:dyDescent="0.3">
      <c r="E21" s="9" t="s">
        <v>37</v>
      </c>
      <c r="F21" s="10">
        <v>16057819</v>
      </c>
      <c r="G21" s="10">
        <v>16930315</v>
      </c>
      <c r="H21" s="10"/>
      <c r="I21" s="9" t="s">
        <v>63</v>
      </c>
      <c r="J21" s="10">
        <v>313446</v>
      </c>
      <c r="K21" s="10">
        <v>1069165</v>
      </c>
      <c r="M21" s="11" t="s">
        <v>73</v>
      </c>
      <c r="N21">
        <v>0.03</v>
      </c>
      <c r="P21" s="9" t="s">
        <v>37</v>
      </c>
      <c r="Q21" s="10">
        <v>25036946</v>
      </c>
    </row>
    <row r="22" spans="5:17" x14ac:dyDescent="0.3">
      <c r="E22" s="9" t="s">
        <v>29</v>
      </c>
      <c r="F22" s="10">
        <v>30128640</v>
      </c>
      <c r="G22" s="10">
        <v>30966657</v>
      </c>
      <c r="H22" s="10"/>
      <c r="I22" s="9" t="s">
        <v>28</v>
      </c>
      <c r="J22" s="10">
        <v>17080776</v>
      </c>
      <c r="K22" s="10">
        <v>51540236</v>
      </c>
      <c r="M22" s="9" t="s">
        <v>74</v>
      </c>
      <c r="N22">
        <v>0.02</v>
      </c>
      <c r="P22" s="9" t="s">
        <v>29</v>
      </c>
      <c r="Q22" s="10">
        <v>37552529</v>
      </c>
    </row>
    <row r="23" spans="5:17" x14ac:dyDescent="0.3">
      <c r="E23" s="9" t="s">
        <v>35</v>
      </c>
      <c r="F23" s="10">
        <v>17378649</v>
      </c>
      <c r="G23" s="10">
        <v>16027412</v>
      </c>
      <c r="H23" s="10"/>
      <c r="I23" s="9" t="s">
        <v>47</v>
      </c>
      <c r="J23" s="10">
        <v>3414106</v>
      </c>
      <c r="K23" s="10">
        <v>9134820</v>
      </c>
      <c r="M23" s="11" t="s">
        <v>75</v>
      </c>
      <c r="N23">
        <v>0.02</v>
      </c>
      <c r="P23" s="9" t="s">
        <v>35</v>
      </c>
      <c r="Q23" s="10">
        <v>17445506</v>
      </c>
    </row>
    <row r="24" spans="5:17" x14ac:dyDescent="0.3">
      <c r="E24" s="9" t="s">
        <v>76</v>
      </c>
      <c r="F24" s="10">
        <v>31350</v>
      </c>
      <c r="G24" s="10">
        <v>33123</v>
      </c>
      <c r="H24" s="10"/>
      <c r="I24" s="9" t="s">
        <v>77</v>
      </c>
      <c r="J24" s="10">
        <v>50308</v>
      </c>
      <c r="K24" s="10">
        <v>14121</v>
      </c>
      <c r="M24" s="9" t="s">
        <v>46</v>
      </c>
      <c r="N24">
        <v>1.39</v>
      </c>
      <c r="P24" s="9" t="s">
        <v>76</v>
      </c>
      <c r="Q24" s="10">
        <v>14121</v>
      </c>
    </row>
    <row r="25" spans="5:17" x14ac:dyDescent="0.3">
      <c r="E25" s="9" t="s">
        <v>23</v>
      </c>
      <c r="F25" s="10">
        <v>35014503</v>
      </c>
      <c r="G25" s="10">
        <v>37612306</v>
      </c>
      <c r="H25" s="10"/>
      <c r="I25" s="9" t="s">
        <v>59</v>
      </c>
      <c r="J25" s="10">
        <v>573741</v>
      </c>
      <c r="K25" s="10">
        <v>1406861</v>
      </c>
      <c r="M25" s="11" t="s">
        <v>46</v>
      </c>
      <c r="N25">
        <v>1.39</v>
      </c>
      <c r="P25" s="9" t="s">
        <v>23</v>
      </c>
      <c r="Q25" s="10">
        <v>52537899</v>
      </c>
    </row>
    <row r="26" spans="5:17" x14ac:dyDescent="0.3">
      <c r="E26" s="9" t="s">
        <v>15</v>
      </c>
      <c r="F26" s="10">
        <v>54131277</v>
      </c>
      <c r="G26" s="10">
        <v>58243056</v>
      </c>
      <c r="H26" s="10"/>
      <c r="I26" s="9" t="s">
        <v>20</v>
      </c>
      <c r="J26" s="10">
        <v>29134060</v>
      </c>
      <c r="K26" s="10">
        <v>62213676</v>
      </c>
      <c r="M26" s="9" t="s">
        <v>60</v>
      </c>
      <c r="N26">
        <v>0.12</v>
      </c>
      <c r="P26" s="9" t="s">
        <v>15</v>
      </c>
      <c r="Q26" s="10">
        <v>61545441</v>
      </c>
    </row>
    <row r="27" spans="5:17" x14ac:dyDescent="0.3">
      <c r="E27" s="9" t="s">
        <v>56</v>
      </c>
      <c r="F27" s="10">
        <v>1280219</v>
      </c>
      <c r="G27" s="10">
        <v>1290171</v>
      </c>
      <c r="H27" s="10"/>
      <c r="I27" s="9" t="s">
        <v>14</v>
      </c>
      <c r="J27" s="10">
        <v>44470455</v>
      </c>
      <c r="K27" s="10">
        <v>155111022</v>
      </c>
      <c r="M27" s="11" t="s">
        <v>61</v>
      </c>
      <c r="N27">
        <v>0.12</v>
      </c>
      <c r="P27" s="9" t="s">
        <v>56</v>
      </c>
      <c r="Q27" s="10">
        <v>1899624</v>
      </c>
    </row>
    <row r="28" spans="5:17" x14ac:dyDescent="0.3">
      <c r="E28" s="9" t="s">
        <v>54</v>
      </c>
      <c r="F28" s="10">
        <v>1475057</v>
      </c>
      <c r="G28" s="10">
        <v>1491832</v>
      </c>
      <c r="H28" s="10"/>
      <c r="I28" s="9" t="s">
        <v>16</v>
      </c>
      <c r="J28" s="10">
        <v>50827531</v>
      </c>
      <c r="K28" s="10">
        <v>61545441</v>
      </c>
      <c r="M28" s="9" t="s">
        <v>31</v>
      </c>
      <c r="N28">
        <v>4.99</v>
      </c>
      <c r="P28" s="9" t="s">
        <v>54</v>
      </c>
      <c r="Q28" s="10">
        <v>2368971</v>
      </c>
    </row>
    <row r="29" spans="5:17" x14ac:dyDescent="0.3">
      <c r="E29" s="9" t="s">
        <v>66</v>
      </c>
      <c r="F29" s="10">
        <v>541867</v>
      </c>
      <c r="G29" s="10">
        <v>555339</v>
      </c>
      <c r="H29" s="10"/>
      <c r="I29" s="9" t="s">
        <v>61</v>
      </c>
      <c r="J29" s="10">
        <v>906309</v>
      </c>
      <c r="K29" s="10">
        <v>551414</v>
      </c>
      <c r="M29" s="11" t="s">
        <v>32</v>
      </c>
      <c r="N29">
        <v>4.99</v>
      </c>
      <c r="P29" s="9" t="s">
        <v>66</v>
      </c>
      <c r="Q29" s="10">
        <v>529037</v>
      </c>
    </row>
    <row r="30" spans="5:17" x14ac:dyDescent="0.3">
      <c r="E30" s="9" t="s">
        <v>58</v>
      </c>
      <c r="F30" s="10">
        <v>953853</v>
      </c>
      <c r="G30" s="10">
        <v>1024649</v>
      </c>
      <c r="H30" s="10"/>
      <c r="I30" s="9" t="s">
        <v>18</v>
      </c>
      <c r="J30" s="10">
        <v>11729609</v>
      </c>
      <c r="K30" s="10">
        <v>92075028</v>
      </c>
      <c r="M30" s="9" t="s">
        <v>45</v>
      </c>
      <c r="N30">
        <v>2.09</v>
      </c>
      <c r="P30" s="9" t="s">
        <v>58</v>
      </c>
      <c r="Q30" s="10">
        <v>1406861</v>
      </c>
    </row>
    <row r="31" spans="5:17" x14ac:dyDescent="0.3">
      <c r="E31" s="9" t="s">
        <v>33</v>
      </c>
      <c r="F31" s="10">
        <v>20762082</v>
      </c>
      <c r="G31" s="10">
        <v>21212136</v>
      </c>
      <c r="H31" s="10"/>
      <c r="I31" s="9" t="s">
        <v>65</v>
      </c>
      <c r="J31" s="10">
        <v>850123</v>
      </c>
      <c r="K31" s="10">
        <v>394341</v>
      </c>
      <c r="M31" s="11" t="s">
        <v>42</v>
      </c>
      <c r="N31">
        <v>2.09</v>
      </c>
      <c r="P31" s="9" t="s">
        <v>33</v>
      </c>
      <c r="Q31" s="10">
        <v>34951234</v>
      </c>
    </row>
    <row r="32" spans="5:17" x14ac:dyDescent="0.3">
      <c r="E32" s="9" t="s">
        <v>64</v>
      </c>
      <c r="F32" s="10">
        <v>635442</v>
      </c>
      <c r="G32" s="10">
        <v>612511</v>
      </c>
      <c r="H32" s="10"/>
      <c r="I32" s="9" t="s">
        <v>71</v>
      </c>
      <c r="J32" s="10">
        <v>135533</v>
      </c>
      <c r="K32" s="10">
        <v>244411</v>
      </c>
      <c r="M32" s="9" t="s">
        <v>50</v>
      </c>
      <c r="N32">
        <v>0.56999999999999995</v>
      </c>
      <c r="P32" s="9" t="s">
        <v>64</v>
      </c>
      <c r="Q32" s="10">
        <v>394341</v>
      </c>
    </row>
    <row r="33" spans="5:17" x14ac:dyDescent="0.3">
      <c r="E33" s="9" t="s">
        <v>41</v>
      </c>
      <c r="F33" s="10">
        <v>13103873</v>
      </c>
      <c r="G33" s="10">
        <v>14639465</v>
      </c>
      <c r="H33" s="10"/>
      <c r="I33" s="9" t="s">
        <v>44</v>
      </c>
      <c r="J33" s="10">
        <v>5936538</v>
      </c>
      <c r="K33" s="10">
        <v>19603658</v>
      </c>
      <c r="M33" s="11" t="s">
        <v>51</v>
      </c>
      <c r="N33">
        <v>0.56999999999999995</v>
      </c>
      <c r="P33" s="9" t="s">
        <v>41</v>
      </c>
      <c r="Q33" s="10">
        <v>17316800</v>
      </c>
    </row>
    <row r="34" spans="5:17" x14ac:dyDescent="0.3">
      <c r="E34" s="9" t="s">
        <v>27</v>
      </c>
      <c r="F34" s="10">
        <v>32997440</v>
      </c>
      <c r="G34" s="10">
        <v>35550997</v>
      </c>
      <c r="H34" s="10"/>
      <c r="I34" s="9" t="s">
        <v>38</v>
      </c>
      <c r="J34" s="10">
        <v>7929292</v>
      </c>
      <c r="K34" s="10">
        <v>25036946</v>
      </c>
      <c r="M34" s="9" t="s">
        <v>47</v>
      </c>
      <c r="N34">
        <v>1.04</v>
      </c>
      <c r="P34" s="9" t="s">
        <v>27</v>
      </c>
      <c r="Q34" s="10">
        <v>51540236</v>
      </c>
    </row>
    <row r="35" spans="5:17" x14ac:dyDescent="0.3">
      <c r="E35" s="9" t="s">
        <v>68</v>
      </c>
      <c r="F35" s="10">
        <v>287507</v>
      </c>
      <c r="G35" s="10">
        <v>323070</v>
      </c>
      <c r="H35" s="10"/>
      <c r="I35" s="9" t="s">
        <v>55</v>
      </c>
      <c r="J35" s="10">
        <v>595036</v>
      </c>
      <c r="K35" s="10">
        <v>2368971</v>
      </c>
      <c r="M35" s="11" t="s">
        <v>47</v>
      </c>
      <c r="N35">
        <v>1.04</v>
      </c>
      <c r="P35" s="9" t="s">
        <v>68</v>
      </c>
      <c r="Q35" s="10">
        <v>455962</v>
      </c>
    </row>
    <row r="36" spans="5:17" x14ac:dyDescent="0.3">
      <c r="E36" s="9" t="s">
        <v>25</v>
      </c>
      <c r="F36" s="10">
        <v>36009055</v>
      </c>
      <c r="G36" s="10">
        <v>36137975</v>
      </c>
      <c r="H36" s="10"/>
      <c r="I36" s="9" t="s">
        <v>51</v>
      </c>
      <c r="J36" s="10">
        <v>688704</v>
      </c>
      <c r="K36" s="10">
        <v>6167805</v>
      </c>
      <c r="M36" s="9" t="s">
        <v>37</v>
      </c>
      <c r="N36">
        <v>2.72</v>
      </c>
      <c r="P36" s="9" t="s">
        <v>25</v>
      </c>
      <c r="Q36" s="10">
        <v>37189229</v>
      </c>
    </row>
    <row r="37" spans="5:17" x14ac:dyDescent="0.3">
      <c r="E37" s="9" t="s">
        <v>52</v>
      </c>
      <c r="F37" s="10">
        <v>1799541</v>
      </c>
      <c r="G37" s="10">
        <v>1874376</v>
      </c>
      <c r="H37" s="10"/>
      <c r="I37" s="9" t="s">
        <v>73</v>
      </c>
      <c r="J37" s="10">
        <v>159829</v>
      </c>
      <c r="K37" s="10">
        <v>183024</v>
      </c>
      <c r="M37" s="11" t="s">
        <v>38</v>
      </c>
      <c r="N37">
        <v>2.72</v>
      </c>
      <c r="P37" s="9" t="s">
        <v>52</v>
      </c>
      <c r="Q37" s="10">
        <v>2710051</v>
      </c>
    </row>
    <row r="38" spans="5:17" x14ac:dyDescent="0.3">
      <c r="E38" s="9" t="s">
        <v>13</v>
      </c>
      <c r="F38" s="10">
        <v>95331831</v>
      </c>
      <c r="G38" s="10">
        <v>104480510</v>
      </c>
      <c r="H38" s="10"/>
      <c r="I38" s="9" t="s">
        <v>36</v>
      </c>
      <c r="J38" s="10">
        <v>15932171</v>
      </c>
      <c r="K38" s="10">
        <v>17445506</v>
      </c>
      <c r="M38" s="9" t="s">
        <v>29</v>
      </c>
      <c r="N38">
        <v>5.05</v>
      </c>
      <c r="P38" s="9" t="s">
        <v>13</v>
      </c>
      <c r="Q38" s="10">
        <v>155111022</v>
      </c>
    </row>
    <row r="39" spans="5:17" x14ac:dyDescent="0.3">
      <c r="E39" s="9" t="s">
        <v>48</v>
      </c>
      <c r="F39" s="10">
        <v>4948519</v>
      </c>
      <c r="G39" s="10">
        <v>5137773</v>
      </c>
      <c r="H39" s="10"/>
      <c r="I39" s="9" t="s">
        <v>89</v>
      </c>
      <c r="J39" s="10">
        <v>373542974</v>
      </c>
      <c r="K39" s="10">
        <v>833652994</v>
      </c>
      <c r="M39" s="11" t="s">
        <v>30</v>
      </c>
      <c r="N39">
        <v>5.05</v>
      </c>
      <c r="P39" s="9" t="s">
        <v>48</v>
      </c>
      <c r="Q39" s="10">
        <v>7025583</v>
      </c>
    </row>
    <row r="40" spans="5:17" x14ac:dyDescent="0.3">
      <c r="E40" s="9" t="s">
        <v>19</v>
      </c>
      <c r="F40" s="10">
        <v>44467088</v>
      </c>
      <c r="G40" s="10">
        <v>46809027</v>
      </c>
      <c r="H40" s="10"/>
      <c r="M40" s="9" t="s">
        <v>35</v>
      </c>
      <c r="N40">
        <v>2.76</v>
      </c>
      <c r="P40" s="9" t="s">
        <v>19</v>
      </c>
      <c r="Q40" s="10">
        <v>62213676</v>
      </c>
    </row>
    <row r="41" spans="5:17" x14ac:dyDescent="0.3">
      <c r="E41" s="9" t="s">
        <v>89</v>
      </c>
      <c r="F41" s="10">
        <v>587447730</v>
      </c>
      <c r="G41" s="10">
        <v>623021843</v>
      </c>
      <c r="H41" s="10"/>
      <c r="M41" s="11" t="s">
        <v>36</v>
      </c>
      <c r="N41">
        <v>2.76</v>
      </c>
      <c r="P41" s="9" t="s">
        <v>89</v>
      </c>
      <c r="Q41" s="10">
        <v>833652994</v>
      </c>
    </row>
    <row r="42" spans="5:17" x14ac:dyDescent="0.3">
      <c r="M42" s="9" t="s">
        <v>76</v>
      </c>
      <c r="N42">
        <v>0.01</v>
      </c>
    </row>
    <row r="43" spans="5:17" x14ac:dyDescent="0.3">
      <c r="M43" s="11" t="s">
        <v>77</v>
      </c>
      <c r="N43">
        <v>0.01</v>
      </c>
    </row>
    <row r="44" spans="5:17" x14ac:dyDescent="0.3">
      <c r="M44" s="9" t="s">
        <v>23</v>
      </c>
      <c r="N44">
        <v>6</v>
      </c>
    </row>
    <row r="45" spans="5:17" x14ac:dyDescent="0.3">
      <c r="M45" s="11" t="s">
        <v>24</v>
      </c>
      <c r="N45">
        <v>6</v>
      </c>
    </row>
    <row r="46" spans="5:17" x14ac:dyDescent="0.3">
      <c r="M46" s="9" t="s">
        <v>15</v>
      </c>
      <c r="N46">
        <v>9.2799999999999994</v>
      </c>
    </row>
    <row r="47" spans="5:17" x14ac:dyDescent="0.3">
      <c r="M47" s="11" t="s">
        <v>16</v>
      </c>
      <c r="N47">
        <v>9.2799999999999994</v>
      </c>
    </row>
    <row r="48" spans="5:17" x14ac:dyDescent="0.3">
      <c r="M48" s="9" t="s">
        <v>56</v>
      </c>
      <c r="N48">
        <v>0.21</v>
      </c>
    </row>
    <row r="49" spans="13:14" x14ac:dyDescent="0.3">
      <c r="M49" s="11" t="s">
        <v>57</v>
      </c>
      <c r="N49">
        <v>0.21</v>
      </c>
    </row>
    <row r="50" spans="13:14" x14ac:dyDescent="0.3">
      <c r="M50" s="9" t="s">
        <v>54</v>
      </c>
      <c r="N50">
        <v>0.25</v>
      </c>
    </row>
    <row r="51" spans="13:14" x14ac:dyDescent="0.3">
      <c r="M51" s="11" t="s">
        <v>55</v>
      </c>
      <c r="N51">
        <v>0.25</v>
      </c>
    </row>
    <row r="52" spans="13:14" x14ac:dyDescent="0.3">
      <c r="M52" s="9" t="s">
        <v>66</v>
      </c>
      <c r="N52">
        <v>0.09</v>
      </c>
    </row>
    <row r="53" spans="13:14" x14ac:dyDescent="0.3">
      <c r="M53" s="11" t="s">
        <v>67</v>
      </c>
      <c r="N53">
        <v>0.09</v>
      </c>
    </row>
    <row r="54" spans="13:14" x14ac:dyDescent="0.3">
      <c r="M54" s="9" t="s">
        <v>58</v>
      </c>
      <c r="N54">
        <v>0.16</v>
      </c>
    </row>
    <row r="55" spans="13:14" x14ac:dyDescent="0.3">
      <c r="M55" s="11" t="s">
        <v>59</v>
      </c>
      <c r="N55">
        <v>0.16</v>
      </c>
    </row>
    <row r="56" spans="13:14" x14ac:dyDescent="0.3">
      <c r="M56" s="9" t="s">
        <v>33</v>
      </c>
      <c r="N56">
        <v>3.47</v>
      </c>
    </row>
    <row r="57" spans="13:14" x14ac:dyDescent="0.3">
      <c r="M57" s="11" t="s">
        <v>34</v>
      </c>
      <c r="N57">
        <v>3.47</v>
      </c>
    </row>
    <row r="58" spans="13:14" x14ac:dyDescent="0.3">
      <c r="M58" s="9" t="s">
        <v>64</v>
      </c>
      <c r="N58">
        <v>0.1</v>
      </c>
    </row>
    <row r="59" spans="13:14" x14ac:dyDescent="0.3">
      <c r="M59" s="11" t="s">
        <v>65</v>
      </c>
      <c r="N59">
        <v>0.1</v>
      </c>
    </row>
    <row r="60" spans="13:14" x14ac:dyDescent="0.3">
      <c r="M60" s="9" t="s">
        <v>41</v>
      </c>
      <c r="N60">
        <v>2.29</v>
      </c>
    </row>
    <row r="61" spans="13:14" x14ac:dyDescent="0.3">
      <c r="M61" s="11" t="s">
        <v>42</v>
      </c>
      <c r="N61">
        <v>2.29</v>
      </c>
    </row>
    <row r="62" spans="13:14" x14ac:dyDescent="0.3">
      <c r="M62" s="9" t="s">
        <v>27</v>
      </c>
      <c r="N62">
        <v>5.66</v>
      </c>
    </row>
    <row r="63" spans="13:14" x14ac:dyDescent="0.3">
      <c r="M63" s="11" t="s">
        <v>28</v>
      </c>
      <c r="N63">
        <v>5.66</v>
      </c>
    </row>
    <row r="64" spans="13:14" x14ac:dyDescent="0.3">
      <c r="M64" s="9" t="s">
        <v>68</v>
      </c>
      <c r="N64">
        <v>0.05</v>
      </c>
    </row>
    <row r="65" spans="13:14" x14ac:dyDescent="0.3">
      <c r="M65" s="11" t="s">
        <v>69</v>
      </c>
      <c r="N65">
        <v>0.05</v>
      </c>
    </row>
    <row r="66" spans="13:14" x14ac:dyDescent="0.3">
      <c r="M66" s="9" t="s">
        <v>25</v>
      </c>
      <c r="N66">
        <v>5.96</v>
      </c>
    </row>
    <row r="67" spans="13:14" x14ac:dyDescent="0.3">
      <c r="M67" s="11" t="s">
        <v>26</v>
      </c>
      <c r="N67">
        <v>5.96</v>
      </c>
    </row>
    <row r="68" spans="13:14" x14ac:dyDescent="0.3">
      <c r="M68" s="9" t="s">
        <v>52</v>
      </c>
      <c r="N68">
        <v>0.3</v>
      </c>
    </row>
    <row r="69" spans="13:14" x14ac:dyDescent="0.3">
      <c r="M69" s="11" t="s">
        <v>53</v>
      </c>
      <c r="N69">
        <v>0.3</v>
      </c>
    </row>
    <row r="70" spans="13:14" x14ac:dyDescent="0.3">
      <c r="M70" s="9" t="s">
        <v>13</v>
      </c>
      <c r="N70">
        <v>16.5</v>
      </c>
    </row>
    <row r="71" spans="13:14" x14ac:dyDescent="0.3">
      <c r="M71" s="11" t="s">
        <v>14</v>
      </c>
      <c r="N71">
        <v>16.5</v>
      </c>
    </row>
    <row r="72" spans="13:14" x14ac:dyDescent="0.3">
      <c r="M72" s="9" t="s">
        <v>48</v>
      </c>
      <c r="N72">
        <v>0.83</v>
      </c>
    </row>
    <row r="73" spans="13:14" x14ac:dyDescent="0.3">
      <c r="M73" s="11" t="s">
        <v>49</v>
      </c>
      <c r="N73">
        <v>0.83</v>
      </c>
    </row>
    <row r="74" spans="13:14" x14ac:dyDescent="0.3">
      <c r="M74" s="9" t="s">
        <v>19</v>
      </c>
      <c r="N74">
        <v>7.54</v>
      </c>
    </row>
    <row r="75" spans="13:14" x14ac:dyDescent="0.3">
      <c r="M75" s="11" t="s">
        <v>20</v>
      </c>
      <c r="N75">
        <v>7.54</v>
      </c>
    </row>
    <row r="76" spans="13:14" x14ac:dyDescent="0.3">
      <c r="M76" s="9" t="s">
        <v>89</v>
      </c>
      <c r="N76">
        <v>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Summery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fahimyadgir07@gmail.com</cp:lastModifiedBy>
  <dcterms:created xsi:type="dcterms:W3CDTF">2026-06-23T05:57:56Z</dcterms:created>
  <dcterms:modified xsi:type="dcterms:W3CDTF">2026-08-20T13:16:01Z</dcterms:modified>
</cp:coreProperties>
</file>